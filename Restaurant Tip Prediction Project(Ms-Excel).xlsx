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EP(EXCEL)\CEP-2\"/>
    </mc:Choice>
  </mc:AlternateContent>
  <xr:revisionPtr revIDLastSave="0" documentId="13_ncr:1_{CDAC6A72-F524-4445-A0A1-F7658A835AD9}" xr6:coauthVersionLast="47" xr6:coauthVersionMax="47" xr10:uidLastSave="{00000000-0000-0000-0000-000000000000}"/>
  <bookViews>
    <workbookView xWindow="-110" yWindow="-110" windowWidth="19420" windowHeight="11020" xr2:uid="{E39F1B53-3127-4D6C-88BD-079CCE5E8692}"/>
  </bookViews>
  <sheets>
    <sheet name="MASTER_DATA" sheetId="1" r:id="rId1"/>
    <sheet name="CATEGORICAL TO NUMERICAL" sheetId="2" r:id="rId2"/>
    <sheet name="Aligned Data" sheetId="3" r:id="rId3"/>
    <sheet name="PIVOT-TABLES" sheetId="5" r:id="rId4"/>
    <sheet name="Correlation" sheetId="11" r:id="rId5"/>
    <sheet name="Correlation Charts" sheetId="8" r:id="rId6"/>
    <sheet name="Multi-Variate Regression_1" sheetId="6" r:id="rId7"/>
    <sheet name="Multi-Variate Regression_2" sheetId="9" r:id="rId8"/>
    <sheet name="Predicted Tip" sheetId="10" r:id="rId9"/>
  </sheets>
  <definedNames>
    <definedName name="_xlnm._FilterDatabase" localSheetId="0" hidden="1">MASTER_DATA!$A$1:$G$245</definedName>
  </definedName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11" l="1"/>
  <c r="J9" i="11"/>
  <c r="J8" i="11"/>
  <c r="J7" i="11"/>
  <c r="J6" i="11"/>
  <c r="J5" i="1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" i="10"/>
  <c r="M13" i="9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" i="2"/>
</calcChain>
</file>

<file path=xl/sharedStrings.xml><?xml version="1.0" encoding="utf-8"?>
<sst xmlns="http://schemas.openxmlformats.org/spreadsheetml/2006/main" count="2106" uniqueCount="93">
  <si>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</si>
  <si>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</si>
  <si>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</si>
  <si>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</si>
  <si>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</si>
  <si>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</si>
  <si>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</si>
  <si>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</si>
  <si>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</si>
  <si>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</si>
  <si>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</si>
  <si>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</si>
  <si>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</si>
  <si>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</si>
  <si>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</si>
  <si>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</si>
  <si>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</si>
  <si>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</si>
  <si>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</si>
  <si>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</si>
  <si>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</si>
  <si>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</si>
  <si>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</si>
  <si>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</si>
  <si>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</si>
  <si>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</si>
  <si>
    <t>Sex Encoded</t>
  </si>
  <si>
    <t>Smoker Encoded</t>
  </si>
  <si>
    <t>Day Encoded</t>
  </si>
  <si>
    <t>Time Encoded</t>
  </si>
  <si>
    <t>Row Labels</t>
  </si>
  <si>
    <t>Grand Total</t>
  </si>
  <si>
    <t>Sum of tip</t>
  </si>
  <si>
    <t>Column Labels</t>
  </si>
  <si>
    <t>Correlation Value</t>
  </si>
  <si>
    <t>sex encoded</t>
  </si>
  <si>
    <t>smoker encoded</t>
  </si>
  <si>
    <t>time encoded</t>
  </si>
  <si>
    <t>day encoded</t>
  </si>
  <si>
    <t>Variables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</si>
  <si>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</si>
  <si>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</si>
  <si>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</si>
  <si>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</si>
  <si>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</si>
  <si>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</si>
  <si>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</si>
  <si>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</si>
  <si>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</si>
  <si>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</si>
  <si>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</si>
  <si>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</si>
  <si>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</si>
  <si>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</si>
  <si>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</si>
  <si>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</si>
  <si>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</si>
  <si>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</si>
  <si>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</si>
  <si>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</si>
  <si>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</si>
  <si>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</si>
  <si>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</si>
  <si>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</si>
  <si>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Analysis</t>
  </si>
  <si>
    <t>very weak or low negative correlation between variable 'time of visit' and 'tip'.</t>
  </si>
  <si>
    <t>positive moderate correlation between 'size of customers per group' and' tip'.</t>
  </si>
  <si>
    <t>positive strong correlation between 'total_bill' and 'tip'.</t>
  </si>
  <si>
    <t>very weak or low negative correlation between variable 'day of restaurant visit' and 'tip'.</t>
  </si>
  <si>
    <t>no correlation between 'sex of customer' and 'tip' as the correlation coefficient is almost zero.</t>
  </si>
  <si>
    <t>no correlation between 'smoker'  variable and 'tip' as the correlation coefficient is very low,almost zero.</t>
  </si>
  <si>
    <t>p-value(0.792&gt;0.05),Fail to reject Null Hypothesis,variable has no impact on tip.</t>
  </si>
  <si>
    <t>p-value(0.654&gt;0.05),Fail to reject Null Hypothesis,variable has no impact on tip.</t>
  </si>
  <si>
    <t>p-value(0.599&gt;0.05),Fail to reject Null Hypothesis,variable has no impact on tip.</t>
  </si>
  <si>
    <t>p-value(0.475&gt;0.05),Fail to reject Null Hypothesis,variable has no impact on tip.</t>
  </si>
  <si>
    <t>p-value(1.7175E-19&lt;0.05) Reject Null Hypothesis, variable total_bill has significant impact on variable "tip" at 95% confidence level.</t>
  </si>
  <si>
    <t>Since p-value is almost equal to the critical value of 0.05, the variable can be considered as just borderline significant and null hypothesis would be borderline rejected.</t>
  </si>
  <si>
    <t>Actual tip</t>
  </si>
  <si>
    <t>PICK</t>
  </si>
  <si>
    <t>DROP</t>
  </si>
  <si>
    <t>PICK/DROP VARIABLE</t>
  </si>
  <si>
    <t>p value less than 5%--&gt; statistical significant relationship.</t>
  </si>
  <si>
    <t>eg: p value= 0.819003636  than there is 81% chance that it can be explained by randomness.</t>
  </si>
  <si>
    <t>Exclude columns with p values greater than 0.05</t>
  </si>
  <si>
    <t>Tip predictor</t>
  </si>
  <si>
    <t>Enter Size</t>
  </si>
  <si>
    <t>Enter total_bill</t>
  </si>
  <si>
    <t>Predicted Tips</t>
  </si>
  <si>
    <t>Values</t>
  </si>
  <si>
    <t>Predicted Tip</t>
  </si>
  <si>
    <t>Error</t>
  </si>
  <si>
    <t>Sq.error</t>
  </si>
  <si>
    <t>Equation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</si>
</sst>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6" borderId="0" applyNumberFormat="0" applyBorder="0" applyAlignment="0" applyProtection="0"/>
  </cellStyleXfs>
  <cellXfs count="5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3" xfId="0" applyFont="1" applyBorder="1" applyAlignment="1">
      <alignment horizontal="center"/>
    </xf>
    <xf numFmtId="0" fontId="4" fillId="0" borderId="2" xfId="0" applyFont="1" applyBorder="1"/>
    <xf numFmtId="0" fontId="6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0" borderId="1" xfId="0" applyFont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wrapText="1"/>
    </xf>
    <xf numFmtId="0" fontId="4" fillId="7" borderId="1" xfId="0" applyFont="1" applyFill="1" applyBorder="1"/>
    <xf numFmtId="0" fontId="4" fillId="7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/>
    <xf numFmtId="0" fontId="7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Continuous"/>
    </xf>
    <xf numFmtId="0" fontId="1" fillId="0" borderId="2" xfId="0" applyFont="1" applyBorder="1"/>
    <xf numFmtId="0" fontId="8" fillId="0" borderId="3" xfId="0" applyFont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4" xfId="0" applyFont="1" applyBorder="1"/>
    <xf numFmtId="0" fontId="1" fillId="0" borderId="9" xfId="0" applyFont="1" applyBorder="1"/>
    <xf numFmtId="0" fontId="2" fillId="9" borderId="6" xfId="2" applyFill="1" applyBorder="1" applyAlignment="1">
      <alignment horizontal="center" vertical="center"/>
    </xf>
    <xf numFmtId="0" fontId="2" fillId="9" borderId="8" xfId="2" applyFill="1" applyBorder="1" applyAlignment="1">
      <alignment horizontal="center" vertical="center"/>
    </xf>
    <xf numFmtId="0" fontId="1" fillId="9" borderId="4" xfId="0" applyFont="1" applyFill="1" applyBorder="1"/>
    <xf numFmtId="2" fontId="3" fillId="0" borderId="7" xfId="0" applyNumberFormat="1" applyFont="1" applyBorder="1" applyAlignment="1">
      <alignment horizontal="center" vertical="center"/>
    </xf>
    <xf numFmtId="2" fontId="1" fillId="0" borderId="1" xfId="0" applyNumberFormat="1" applyFont="1" applyBorder="1"/>
    <xf numFmtId="2" fontId="0" fillId="0" borderId="0" xfId="0" applyNumberFormat="1"/>
    <xf numFmtId="2" fontId="1" fillId="0" borderId="5" xfId="0" applyNumberFormat="1" applyFont="1" applyBorder="1"/>
    <xf numFmtId="0" fontId="1" fillId="0" borderId="5" xfId="0" applyFont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9" fillId="4" borderId="1" xfId="0" applyFont="1" applyFill="1" applyBorder="1"/>
    <xf numFmtId="0" fontId="4" fillId="3" borderId="1" xfId="0" applyFont="1" applyFill="1" applyBorder="1"/>
    <xf numFmtId="0" fontId="4" fillId="2" borderId="1" xfId="1" applyFont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</cellXfs>
  <cellStyles count="3">
    <cellStyle name="20% - Accent1" xfId="1" builtinId="30"/>
    <cellStyle name="20% - Accent6" xfId="2" builtinId="50"/>
    <cellStyle name="Normal" xfId="0" builtinId="0"/>
  </cellStyles>
  <dxfs count="19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numFmt numFmtId="2" formatCode="0.0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numFmt numFmtId="2" formatCode="0.0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Tips_CEP-2.xlsx]PIVOT-TABLES!PivotTable2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 Wise Tip</a:t>
            </a:r>
          </a:p>
        </c:rich>
      </c:tx>
      <c:layout>
        <c:manualLayout>
          <c:xMode val="edge"/>
          <c:yMode val="edge"/>
          <c:x val="0.25001658052655312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22210270631338178"/>
              <c:y val="0.10164771070282881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</a:t>
                </a:r>
                <a:fld id="{2D934252-E25E-49E7-B2C8-D28527A1194F}" type="PERCENTAGE">
                  <a:rPr lang="en-US" baseline="0"/>
                  <a:pPr>
                    <a:defRPr sz="1200" b="1">
                      <a:solidFill>
                        <a:schemeClr val="bg1"/>
                      </a:solidFill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0568094626938149"/>
              <c:y val="-0.116660104986876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'PIVOT-TABLES'!$B$3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B6-4AF3-A47E-FC7DF677878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B6-4AF3-A47E-FC7DF677878E}"/>
              </c:ext>
            </c:extLst>
          </c:dPt>
          <c:dLbls>
            <c:dLbl>
              <c:idx val="0"/>
              <c:layout>
                <c:manualLayout>
                  <c:x val="-0.22210270631338178"/>
                  <c:y val="0.1016477107028288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 </a:t>
                    </a:r>
                    <a:fld id="{2D934252-E25E-49E7-B2C8-D28527A1194F}" type="PERCENTAGE">
                      <a:rPr lang="en-US" baseline="0"/>
                      <a:pPr>
                        <a:defRPr sz="1200" b="1"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FB6-4AF3-A47E-FC7DF677878E}"/>
                </c:ext>
              </c:extLst>
            </c:dLbl>
            <c:dLbl>
              <c:idx val="1"/>
              <c:layout>
                <c:manualLayout>
                  <c:x val="0.20568094626938149"/>
                  <c:y val="-0.1166601049868766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B6-4AF3-A47E-FC7DF67787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'PIVOT-TABLES'!$A$4:$A$6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'PIVOT-TABLES'!$B$4:$B$6</c:f>
              <c:numCache>
                <c:formatCode>General</c:formatCode>
                <c:ptCount val="2"/>
                <c:pt idx="0">
                  <c:v>244.51</c:v>
                </c:pt>
                <c:pt idx="1">
                  <c:v>485.07000000000011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F-42BB-A21E-F3E4ADC9F99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Tips_CEP-2.xlsx]PIVOT-TABLES!PivotTable3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Wise Tip</a:t>
            </a:r>
            <a:endParaRPr lang="en-US"/>
          </a:p>
        </c:rich>
      </c:tx>
      <c:layout>
        <c:manualLayout>
          <c:xMode val="edge"/>
          <c:yMode val="edge"/>
          <c:x val="0.35424571592077236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'PIVOT-TABLES'!$B$21:$B$22</c:f>
              <c:strCache>
                <c:ptCount val="1"/>
                <c:pt idx="0">
                  <c:v>Dinner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'PIVOT-TABLES'!$A$23:$A$25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'PIVOT-TABLES'!$B$23:$B$25</c:f>
              <c:numCache>
                <c:formatCode>General</c:formatCode>
                <c:ptCount val="2"/>
                <c:pt idx="0">
                  <c:v>156.10999999999999</c:v>
                </c:pt>
                <c:pt idx="1">
                  <c:v>389.96000000000004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A-4060-BA09-060210D7CAC9}"/>
            </c:ext>
          </c:extLst>
        </c:ser>
        <c:ser>
          <c:idx val="1"/>
          <c:order val="1"/>
          <c:tx>
            <c:strRef>
              <c:f>'PIVOT-TABLES'!$C$21:$C$22</c:f>
              <c:strCache>
                <c:ptCount val="1"/>
                <c:pt idx="0">
                  <c:v>Lunch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'PIVOT-TABLES'!$A$23:$A$25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'PIVOT-TABLES'!$C$23:$C$25</c:f>
              <c:numCache>
                <c:formatCode>General</c:formatCode>
                <c:ptCount val="2"/>
                <c:pt idx="0">
                  <c:v>88.40000000000002</c:v>
                </c:pt>
                <c:pt idx="1">
                  <c:v>95.11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6A-4060-BA09-060210D7CA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42702383"/>
        <c:axId val="442701903"/>
      </c:barChart>
      <c:catAx>
        <c:axId val="44270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01903"/>
        <c:crosses val="autoZero"/>
        <c:auto val="1"/>
        <c:lblAlgn val="ctr"/>
        <c:lblOffset val="100"/>
        <c:noMultiLvlLbl val="0"/>
      </c:catAx>
      <c:valAx>
        <c:axId val="44270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0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Sex-Tip Scatter Chart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4160411198600177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'Aligned Data'!$G$1</c:f>
              <c:strCache>
                <c:ptCount val="1"/>
                <c:pt idx="0">
                  <c:v>Actual tip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3632983377077865E-2"/>
                  <c:y val="-4.59106153397491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'Aligned Data'!$A$2:$A$244</c:f>
              <c:numCache>
                <c:formatCode>General</c:formatCode>
                <c:ptCount val="243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2</c:v>
                </c:pt>
                <c:pt idx="115">
                  <c:v>2</c:v>
                </c:pt>
                <c:pt idx="116">
                  <c:v>1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1</c:v>
                </c:pt>
                <c:pt idx="124">
                  <c:v>2</c:v>
                </c:pt>
                <c:pt idx="125">
                  <c:v>2</c:v>
                </c:pt>
                <c:pt idx="126">
                  <c:v>1</c:v>
                </c:pt>
                <c:pt idx="127">
                  <c:v>2</c:v>
                </c:pt>
                <c:pt idx="128">
                  <c:v>2</c:v>
                </c:pt>
                <c:pt idx="129">
                  <c:v>1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1</c:v>
                </c:pt>
                <c:pt idx="139">
                  <c:v>2</c:v>
                </c:pt>
                <c:pt idx="140">
                  <c:v>2</c:v>
                </c:pt>
                <c:pt idx="141">
                  <c:v>1</c:v>
                </c:pt>
                <c:pt idx="142">
                  <c:v>1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2</c:v>
                </c:pt>
                <c:pt idx="156">
                  <c:v>1</c:v>
                </c:pt>
                <c:pt idx="157">
                  <c:v>2</c:v>
                </c:pt>
                <c:pt idx="158">
                  <c:v>2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2</c:v>
                </c:pt>
                <c:pt idx="163">
                  <c:v>1</c:v>
                </c:pt>
                <c:pt idx="164">
                  <c:v>2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2</c:v>
                </c:pt>
                <c:pt idx="169">
                  <c:v>2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2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2</c:v>
                </c:pt>
                <c:pt idx="198">
                  <c:v>2</c:v>
                </c:pt>
                <c:pt idx="199">
                  <c:v>1</c:v>
                </c:pt>
                <c:pt idx="200">
                  <c:v>1</c:v>
                </c:pt>
                <c:pt idx="201">
                  <c:v>2</c:v>
                </c:pt>
                <c:pt idx="202">
                  <c:v>2</c:v>
                </c:pt>
                <c:pt idx="203">
                  <c:v>1</c:v>
                </c:pt>
                <c:pt idx="204">
                  <c:v>2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2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2</c:v>
                </c:pt>
                <c:pt idx="219">
                  <c:v>1</c:v>
                </c:pt>
                <c:pt idx="220">
                  <c:v>2</c:v>
                </c:pt>
                <c:pt idx="221">
                  <c:v>1</c:v>
                </c:pt>
                <c:pt idx="222">
                  <c:v>2</c:v>
                </c:pt>
                <c:pt idx="223">
                  <c:v>1</c:v>
                </c:pt>
                <c:pt idx="224">
                  <c:v>2</c:v>
                </c:pt>
                <c:pt idx="225">
                  <c:v>2</c:v>
                </c:pt>
                <c:pt idx="226">
                  <c:v>1</c:v>
                </c:pt>
                <c:pt idx="227">
                  <c:v>1</c:v>
                </c:pt>
                <c:pt idx="228">
                  <c:v>2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2</c:v>
                </c:pt>
                <c:pt idx="238">
                  <c:v>1</c:v>
                </c:pt>
                <c:pt idx="239">
                  <c:v>2</c:v>
                </c:pt>
                <c:pt idx="240">
                  <c:v>1</c:v>
                </c:pt>
                <c:pt idx="241">
                  <c:v>1</c:v>
                </c:pt>
                <c:pt idx="242">
                  <c:v>2</c:v>
                </c:pt>
              </c:numCache>
            </c:numRef>
          </c:xVal>
          <c:yVal>
            <c:numRef>
              <c:f>'Aligned Data'!$G$2:$G$244</c:f>
              <c:numCache>
                <c:formatCode>General</c:formatCode>
                <c:ptCount val="243"/>
                <c:pt idx="0">
                  <c:v>1.01</c:v>
                </c:pt>
                <c:pt idx="1">
                  <c:v>1.66</c:v>
                </c:pt>
                <c:pt idx="2">
                  <c:v>3.5</c:v>
                </c:pt>
                <c:pt idx="3">
                  <c:v>3.31</c:v>
                </c:pt>
                <c:pt idx="4">
                  <c:v>3.61</c:v>
                </c:pt>
                <c:pt idx="5">
                  <c:v>4.71</c:v>
                </c:pt>
                <c:pt idx="6">
                  <c:v>2</c:v>
                </c:pt>
                <c:pt idx="7">
                  <c:v>3.12</c:v>
                </c:pt>
                <c:pt idx="8">
                  <c:v>1.96</c:v>
                </c:pt>
                <c:pt idx="9">
                  <c:v>3.23</c:v>
                </c:pt>
                <c:pt idx="10">
                  <c:v>1.71</c:v>
                </c:pt>
                <c:pt idx="11">
                  <c:v>5</c:v>
                </c:pt>
                <c:pt idx="12">
                  <c:v>1.57</c:v>
                </c:pt>
                <c:pt idx="13">
                  <c:v>3</c:v>
                </c:pt>
                <c:pt idx="14">
                  <c:v>3.02</c:v>
                </c:pt>
                <c:pt idx="15">
                  <c:v>3.92</c:v>
                </c:pt>
                <c:pt idx="16">
                  <c:v>1.67</c:v>
                </c:pt>
                <c:pt idx="17">
                  <c:v>3.71</c:v>
                </c:pt>
                <c:pt idx="18">
                  <c:v>3.5</c:v>
                </c:pt>
                <c:pt idx="19">
                  <c:v>3.35</c:v>
                </c:pt>
                <c:pt idx="20">
                  <c:v>4.08</c:v>
                </c:pt>
                <c:pt idx="21">
                  <c:v>2.75</c:v>
                </c:pt>
                <c:pt idx="22">
                  <c:v>2.23</c:v>
                </c:pt>
                <c:pt idx="23">
                  <c:v>7.58</c:v>
                </c:pt>
                <c:pt idx="24">
                  <c:v>3.18</c:v>
                </c:pt>
                <c:pt idx="25">
                  <c:v>2.34</c:v>
                </c:pt>
                <c:pt idx="26">
                  <c:v>2</c:v>
                </c:pt>
                <c:pt idx="27">
                  <c:v>2</c:v>
                </c:pt>
                <c:pt idx="28">
                  <c:v>4.3</c:v>
                </c:pt>
                <c:pt idx="29">
                  <c:v>3</c:v>
                </c:pt>
                <c:pt idx="30">
                  <c:v>1.45</c:v>
                </c:pt>
                <c:pt idx="31">
                  <c:v>2.5</c:v>
                </c:pt>
                <c:pt idx="32">
                  <c:v>3</c:v>
                </c:pt>
                <c:pt idx="33">
                  <c:v>2.4500000000000002</c:v>
                </c:pt>
                <c:pt idx="34">
                  <c:v>3.27</c:v>
                </c:pt>
                <c:pt idx="35">
                  <c:v>3.6</c:v>
                </c:pt>
                <c:pt idx="36">
                  <c:v>2</c:v>
                </c:pt>
                <c:pt idx="37">
                  <c:v>3.07</c:v>
                </c:pt>
                <c:pt idx="38">
                  <c:v>2.31</c:v>
                </c:pt>
                <c:pt idx="39">
                  <c:v>5</c:v>
                </c:pt>
                <c:pt idx="40">
                  <c:v>2.2400000000000002</c:v>
                </c:pt>
                <c:pt idx="41">
                  <c:v>2.54</c:v>
                </c:pt>
                <c:pt idx="42">
                  <c:v>3.06</c:v>
                </c:pt>
                <c:pt idx="43">
                  <c:v>1.32</c:v>
                </c:pt>
                <c:pt idx="44">
                  <c:v>5.6</c:v>
                </c:pt>
                <c:pt idx="45">
                  <c:v>3</c:v>
                </c:pt>
                <c:pt idx="46">
                  <c:v>5</c:v>
                </c:pt>
                <c:pt idx="47">
                  <c:v>6</c:v>
                </c:pt>
                <c:pt idx="48">
                  <c:v>2.0499999999999998</c:v>
                </c:pt>
                <c:pt idx="49">
                  <c:v>3</c:v>
                </c:pt>
                <c:pt idx="50">
                  <c:v>2.5</c:v>
                </c:pt>
                <c:pt idx="51">
                  <c:v>2.6</c:v>
                </c:pt>
                <c:pt idx="52">
                  <c:v>5.2</c:v>
                </c:pt>
                <c:pt idx="53">
                  <c:v>1.56</c:v>
                </c:pt>
                <c:pt idx="54">
                  <c:v>4.34</c:v>
                </c:pt>
                <c:pt idx="55">
                  <c:v>3.51</c:v>
                </c:pt>
                <c:pt idx="56">
                  <c:v>3</c:v>
                </c:pt>
                <c:pt idx="57">
                  <c:v>1.5</c:v>
                </c:pt>
                <c:pt idx="58">
                  <c:v>1.76</c:v>
                </c:pt>
                <c:pt idx="59">
                  <c:v>6.73</c:v>
                </c:pt>
                <c:pt idx="60">
                  <c:v>3.21</c:v>
                </c:pt>
                <c:pt idx="61">
                  <c:v>2</c:v>
                </c:pt>
                <c:pt idx="62">
                  <c:v>1.98</c:v>
                </c:pt>
                <c:pt idx="63">
                  <c:v>3.76</c:v>
                </c:pt>
                <c:pt idx="64">
                  <c:v>2.64</c:v>
                </c:pt>
                <c:pt idx="65">
                  <c:v>3.15</c:v>
                </c:pt>
                <c:pt idx="66">
                  <c:v>2.4700000000000002</c:v>
                </c:pt>
                <c:pt idx="67">
                  <c:v>1</c:v>
                </c:pt>
                <c:pt idx="68">
                  <c:v>2.0099999999999998</c:v>
                </c:pt>
                <c:pt idx="69">
                  <c:v>2.09</c:v>
                </c:pt>
                <c:pt idx="70">
                  <c:v>1.97</c:v>
                </c:pt>
                <c:pt idx="71">
                  <c:v>3</c:v>
                </c:pt>
                <c:pt idx="72">
                  <c:v>3.14</c:v>
                </c:pt>
                <c:pt idx="73">
                  <c:v>5</c:v>
                </c:pt>
                <c:pt idx="74">
                  <c:v>2.2000000000000002</c:v>
                </c:pt>
                <c:pt idx="75">
                  <c:v>1.25</c:v>
                </c:pt>
                <c:pt idx="76">
                  <c:v>3.08</c:v>
                </c:pt>
                <c:pt idx="77">
                  <c:v>4</c:v>
                </c:pt>
                <c:pt idx="78">
                  <c:v>3</c:v>
                </c:pt>
                <c:pt idx="79">
                  <c:v>2.71</c:v>
                </c:pt>
                <c:pt idx="80">
                  <c:v>3</c:v>
                </c:pt>
                <c:pt idx="81">
                  <c:v>3.4</c:v>
                </c:pt>
                <c:pt idx="82">
                  <c:v>1.83</c:v>
                </c:pt>
                <c:pt idx="83">
                  <c:v>5</c:v>
                </c:pt>
                <c:pt idx="84">
                  <c:v>2.0299999999999998</c:v>
                </c:pt>
                <c:pt idx="85">
                  <c:v>5.17</c:v>
                </c:pt>
                <c:pt idx="86">
                  <c:v>2</c:v>
                </c:pt>
                <c:pt idx="87">
                  <c:v>4</c:v>
                </c:pt>
                <c:pt idx="88">
                  <c:v>5.85</c:v>
                </c:pt>
                <c:pt idx="89">
                  <c:v>3</c:v>
                </c:pt>
                <c:pt idx="90">
                  <c:v>3</c:v>
                </c:pt>
                <c:pt idx="91">
                  <c:v>3.5</c:v>
                </c:pt>
                <c:pt idx="92">
                  <c:v>1</c:v>
                </c:pt>
                <c:pt idx="93">
                  <c:v>4.3</c:v>
                </c:pt>
                <c:pt idx="94">
                  <c:v>3.25</c:v>
                </c:pt>
                <c:pt idx="95">
                  <c:v>4.7300000000000004</c:v>
                </c:pt>
                <c:pt idx="96">
                  <c:v>4</c:v>
                </c:pt>
                <c:pt idx="97">
                  <c:v>1.5</c:v>
                </c:pt>
                <c:pt idx="98">
                  <c:v>3</c:v>
                </c:pt>
                <c:pt idx="99">
                  <c:v>1.5</c:v>
                </c:pt>
                <c:pt idx="100">
                  <c:v>2.5</c:v>
                </c:pt>
                <c:pt idx="101">
                  <c:v>3</c:v>
                </c:pt>
                <c:pt idx="102">
                  <c:v>2.5</c:v>
                </c:pt>
                <c:pt idx="103">
                  <c:v>3.48</c:v>
                </c:pt>
                <c:pt idx="104">
                  <c:v>4.08</c:v>
                </c:pt>
                <c:pt idx="105">
                  <c:v>1.64</c:v>
                </c:pt>
                <c:pt idx="106">
                  <c:v>4.0599999999999996</c:v>
                </c:pt>
                <c:pt idx="107">
                  <c:v>4.29</c:v>
                </c:pt>
                <c:pt idx="108">
                  <c:v>3.76</c:v>
                </c:pt>
                <c:pt idx="109">
                  <c:v>4</c:v>
                </c:pt>
                <c:pt idx="110">
                  <c:v>3</c:v>
                </c:pt>
                <c:pt idx="111">
                  <c:v>1</c:v>
                </c:pt>
                <c:pt idx="112">
                  <c:v>4</c:v>
                </c:pt>
                <c:pt idx="113">
                  <c:v>2.5499999999999998</c:v>
                </c:pt>
                <c:pt idx="114">
                  <c:v>4</c:v>
                </c:pt>
                <c:pt idx="115">
                  <c:v>3.5</c:v>
                </c:pt>
                <c:pt idx="116">
                  <c:v>5.07</c:v>
                </c:pt>
                <c:pt idx="117">
                  <c:v>1.5</c:v>
                </c:pt>
                <c:pt idx="118">
                  <c:v>1.8</c:v>
                </c:pt>
                <c:pt idx="119">
                  <c:v>2.92</c:v>
                </c:pt>
                <c:pt idx="120">
                  <c:v>2.31</c:v>
                </c:pt>
                <c:pt idx="121">
                  <c:v>1.68</c:v>
                </c:pt>
                <c:pt idx="122">
                  <c:v>2.5</c:v>
                </c:pt>
                <c:pt idx="123">
                  <c:v>2</c:v>
                </c:pt>
                <c:pt idx="124">
                  <c:v>2.52</c:v>
                </c:pt>
                <c:pt idx="125">
                  <c:v>4.2</c:v>
                </c:pt>
                <c:pt idx="126">
                  <c:v>1.48</c:v>
                </c:pt>
                <c:pt idx="127">
                  <c:v>2</c:v>
                </c:pt>
                <c:pt idx="128">
                  <c:v>2</c:v>
                </c:pt>
                <c:pt idx="129">
                  <c:v>2.1800000000000002</c:v>
                </c:pt>
                <c:pt idx="130">
                  <c:v>1.5</c:v>
                </c:pt>
                <c:pt idx="131">
                  <c:v>2.83</c:v>
                </c:pt>
                <c:pt idx="132">
                  <c:v>1.5</c:v>
                </c:pt>
                <c:pt idx="133">
                  <c:v>2</c:v>
                </c:pt>
                <c:pt idx="134">
                  <c:v>3.25</c:v>
                </c:pt>
                <c:pt idx="135">
                  <c:v>1.25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2.75</c:v>
                </c:pt>
                <c:pt idx="140">
                  <c:v>3.5</c:v>
                </c:pt>
                <c:pt idx="141">
                  <c:v>6.7</c:v>
                </c:pt>
                <c:pt idx="142">
                  <c:v>5</c:v>
                </c:pt>
                <c:pt idx="143">
                  <c:v>5</c:v>
                </c:pt>
                <c:pt idx="144">
                  <c:v>2.2999999999999998</c:v>
                </c:pt>
                <c:pt idx="145">
                  <c:v>1.5</c:v>
                </c:pt>
                <c:pt idx="146">
                  <c:v>1.36</c:v>
                </c:pt>
                <c:pt idx="147">
                  <c:v>1.63</c:v>
                </c:pt>
                <c:pt idx="148">
                  <c:v>1.73</c:v>
                </c:pt>
                <c:pt idx="149">
                  <c:v>2</c:v>
                </c:pt>
                <c:pt idx="150">
                  <c:v>2.5</c:v>
                </c:pt>
                <c:pt idx="151">
                  <c:v>2</c:v>
                </c:pt>
                <c:pt idx="152">
                  <c:v>2.74</c:v>
                </c:pt>
                <c:pt idx="153">
                  <c:v>2</c:v>
                </c:pt>
                <c:pt idx="154">
                  <c:v>2</c:v>
                </c:pt>
                <c:pt idx="155">
                  <c:v>5.14</c:v>
                </c:pt>
                <c:pt idx="156">
                  <c:v>5</c:v>
                </c:pt>
                <c:pt idx="157">
                  <c:v>3.75</c:v>
                </c:pt>
                <c:pt idx="158">
                  <c:v>2.61</c:v>
                </c:pt>
                <c:pt idx="159">
                  <c:v>2</c:v>
                </c:pt>
                <c:pt idx="160">
                  <c:v>3.5</c:v>
                </c:pt>
                <c:pt idx="161">
                  <c:v>2.5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3.48</c:v>
                </c:pt>
                <c:pt idx="166">
                  <c:v>2.2400000000000002</c:v>
                </c:pt>
                <c:pt idx="167">
                  <c:v>4.5</c:v>
                </c:pt>
                <c:pt idx="168">
                  <c:v>1.61</c:v>
                </c:pt>
                <c:pt idx="169">
                  <c:v>2</c:v>
                </c:pt>
                <c:pt idx="170">
                  <c:v>10</c:v>
                </c:pt>
                <c:pt idx="171">
                  <c:v>3.16</c:v>
                </c:pt>
                <c:pt idx="172">
                  <c:v>5.15</c:v>
                </c:pt>
                <c:pt idx="173">
                  <c:v>3.18</c:v>
                </c:pt>
                <c:pt idx="174">
                  <c:v>4</c:v>
                </c:pt>
                <c:pt idx="175">
                  <c:v>3.11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3.55</c:v>
                </c:pt>
                <c:pt idx="180">
                  <c:v>3.68</c:v>
                </c:pt>
                <c:pt idx="181">
                  <c:v>5.65</c:v>
                </c:pt>
                <c:pt idx="182">
                  <c:v>3.5</c:v>
                </c:pt>
                <c:pt idx="183">
                  <c:v>6.5</c:v>
                </c:pt>
                <c:pt idx="184">
                  <c:v>3</c:v>
                </c:pt>
                <c:pt idx="185">
                  <c:v>5</c:v>
                </c:pt>
                <c:pt idx="186">
                  <c:v>3.5</c:v>
                </c:pt>
                <c:pt idx="187">
                  <c:v>2</c:v>
                </c:pt>
                <c:pt idx="188">
                  <c:v>3.5</c:v>
                </c:pt>
                <c:pt idx="189">
                  <c:v>4</c:v>
                </c:pt>
                <c:pt idx="190">
                  <c:v>1.5</c:v>
                </c:pt>
                <c:pt idx="191">
                  <c:v>4.1900000000000004</c:v>
                </c:pt>
                <c:pt idx="192">
                  <c:v>2.56</c:v>
                </c:pt>
                <c:pt idx="193">
                  <c:v>2.02</c:v>
                </c:pt>
                <c:pt idx="194">
                  <c:v>4</c:v>
                </c:pt>
                <c:pt idx="195">
                  <c:v>1.44</c:v>
                </c:pt>
                <c:pt idx="196">
                  <c:v>2</c:v>
                </c:pt>
                <c:pt idx="197">
                  <c:v>5</c:v>
                </c:pt>
                <c:pt idx="198">
                  <c:v>2</c:v>
                </c:pt>
                <c:pt idx="199">
                  <c:v>2</c:v>
                </c:pt>
                <c:pt idx="200">
                  <c:v>4</c:v>
                </c:pt>
                <c:pt idx="201">
                  <c:v>2.0099999999999998</c:v>
                </c:pt>
                <c:pt idx="202">
                  <c:v>2.5</c:v>
                </c:pt>
                <c:pt idx="203">
                  <c:v>4</c:v>
                </c:pt>
                <c:pt idx="204">
                  <c:v>3.23</c:v>
                </c:pt>
                <c:pt idx="205">
                  <c:v>3.41</c:v>
                </c:pt>
                <c:pt idx="206">
                  <c:v>3</c:v>
                </c:pt>
                <c:pt idx="207">
                  <c:v>2.0299999999999998</c:v>
                </c:pt>
                <c:pt idx="208">
                  <c:v>2.23</c:v>
                </c:pt>
                <c:pt idx="209">
                  <c:v>2</c:v>
                </c:pt>
                <c:pt idx="210">
                  <c:v>5.16</c:v>
                </c:pt>
                <c:pt idx="211">
                  <c:v>9</c:v>
                </c:pt>
                <c:pt idx="212">
                  <c:v>2.5</c:v>
                </c:pt>
                <c:pt idx="213">
                  <c:v>6.5</c:v>
                </c:pt>
                <c:pt idx="214">
                  <c:v>1.1000000000000001</c:v>
                </c:pt>
                <c:pt idx="215">
                  <c:v>3</c:v>
                </c:pt>
                <c:pt idx="216">
                  <c:v>1.5</c:v>
                </c:pt>
                <c:pt idx="217">
                  <c:v>1.44</c:v>
                </c:pt>
                <c:pt idx="218">
                  <c:v>3.09</c:v>
                </c:pt>
                <c:pt idx="219">
                  <c:v>2.2000000000000002</c:v>
                </c:pt>
                <c:pt idx="220">
                  <c:v>3.48</c:v>
                </c:pt>
                <c:pt idx="221">
                  <c:v>1.92</c:v>
                </c:pt>
                <c:pt idx="222">
                  <c:v>3</c:v>
                </c:pt>
                <c:pt idx="223">
                  <c:v>1.58</c:v>
                </c:pt>
                <c:pt idx="224">
                  <c:v>2.5</c:v>
                </c:pt>
                <c:pt idx="225">
                  <c:v>2</c:v>
                </c:pt>
                <c:pt idx="226">
                  <c:v>3</c:v>
                </c:pt>
                <c:pt idx="227">
                  <c:v>2.72</c:v>
                </c:pt>
                <c:pt idx="228">
                  <c:v>2.88</c:v>
                </c:pt>
                <c:pt idx="229">
                  <c:v>2</c:v>
                </c:pt>
                <c:pt idx="230">
                  <c:v>3</c:v>
                </c:pt>
                <c:pt idx="231">
                  <c:v>3.39</c:v>
                </c:pt>
                <c:pt idx="232">
                  <c:v>1.47</c:v>
                </c:pt>
                <c:pt idx="233">
                  <c:v>3</c:v>
                </c:pt>
                <c:pt idx="234">
                  <c:v>1.25</c:v>
                </c:pt>
                <c:pt idx="235">
                  <c:v>1</c:v>
                </c:pt>
                <c:pt idx="236">
                  <c:v>1.17</c:v>
                </c:pt>
                <c:pt idx="237">
                  <c:v>4.67</c:v>
                </c:pt>
                <c:pt idx="238">
                  <c:v>5.92</c:v>
                </c:pt>
                <c:pt idx="239">
                  <c:v>2</c:v>
                </c:pt>
                <c:pt idx="240">
                  <c:v>2</c:v>
                </c:pt>
                <c:pt idx="241">
                  <c:v>1.75</c:v>
                </c:pt>
                <c:pt idx="24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B4-4B55-B74B-D0BB52211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964815"/>
        <c:axId val="1385952815"/>
      </c:scatterChart>
      <c:valAx>
        <c:axId val="138596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Sex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52815"/>
        <c:crosses val="autoZero"/>
        <c:crossBetween val="midCat"/>
      </c:valAx>
      <c:valAx>
        <c:axId val="138595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Tip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6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/>
              <a:t>Smoker-Tip Scatter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'Aligned Data'!$G$1</c:f>
              <c:strCache>
                <c:ptCount val="1"/>
                <c:pt idx="0">
                  <c:v>Actual tip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7077427821522311E-2"/>
                  <c:y val="-4.9194371536891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'Aligned Data'!$B$2:$B$244</c:f>
              <c:numCache>
                <c:formatCode>General</c:formatCode>
                <c:ptCount val="2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2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2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1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1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2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1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1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1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1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1</c:v>
                </c:pt>
                <c:pt idx="227">
                  <c:v>1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1</c:v>
                </c:pt>
                <c:pt idx="232">
                  <c:v>1</c:v>
                </c:pt>
                <c:pt idx="233">
                  <c:v>2</c:v>
                </c:pt>
                <c:pt idx="234">
                  <c:v>1</c:v>
                </c:pt>
                <c:pt idx="235">
                  <c:v>2</c:v>
                </c:pt>
                <c:pt idx="236">
                  <c:v>2</c:v>
                </c:pt>
                <c:pt idx="237">
                  <c:v>1</c:v>
                </c:pt>
                <c:pt idx="238">
                  <c:v>1</c:v>
                </c:pt>
                <c:pt idx="239">
                  <c:v>2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</c:numCache>
            </c:numRef>
          </c:xVal>
          <c:yVal>
            <c:numRef>
              <c:f>'Aligned Data'!$G$2:$G$244</c:f>
              <c:numCache>
                <c:formatCode>General</c:formatCode>
                <c:ptCount val="243"/>
                <c:pt idx="0">
                  <c:v>1.01</c:v>
                </c:pt>
                <c:pt idx="1">
                  <c:v>1.66</c:v>
                </c:pt>
                <c:pt idx="2">
                  <c:v>3.5</c:v>
                </c:pt>
                <c:pt idx="3">
                  <c:v>3.31</c:v>
                </c:pt>
                <c:pt idx="4">
                  <c:v>3.61</c:v>
                </c:pt>
                <c:pt idx="5">
                  <c:v>4.71</c:v>
                </c:pt>
                <c:pt idx="6">
                  <c:v>2</c:v>
                </c:pt>
                <c:pt idx="7">
                  <c:v>3.12</c:v>
                </c:pt>
                <c:pt idx="8">
                  <c:v>1.96</c:v>
                </c:pt>
                <c:pt idx="9">
                  <c:v>3.23</c:v>
                </c:pt>
                <c:pt idx="10">
                  <c:v>1.71</c:v>
                </c:pt>
                <c:pt idx="11">
                  <c:v>5</c:v>
                </c:pt>
                <c:pt idx="12">
                  <c:v>1.57</c:v>
                </c:pt>
                <c:pt idx="13">
                  <c:v>3</c:v>
                </c:pt>
                <c:pt idx="14">
                  <c:v>3.02</c:v>
                </c:pt>
                <c:pt idx="15">
                  <c:v>3.92</c:v>
                </c:pt>
                <c:pt idx="16">
                  <c:v>1.67</c:v>
                </c:pt>
                <c:pt idx="17">
                  <c:v>3.71</c:v>
                </c:pt>
                <c:pt idx="18">
                  <c:v>3.5</c:v>
                </c:pt>
                <c:pt idx="19">
                  <c:v>3.35</c:v>
                </c:pt>
                <c:pt idx="20">
                  <c:v>4.08</c:v>
                </c:pt>
                <c:pt idx="21">
                  <c:v>2.75</c:v>
                </c:pt>
                <c:pt idx="22">
                  <c:v>2.23</c:v>
                </c:pt>
                <c:pt idx="23">
                  <c:v>7.58</c:v>
                </c:pt>
                <c:pt idx="24">
                  <c:v>3.18</c:v>
                </c:pt>
                <c:pt idx="25">
                  <c:v>2.34</c:v>
                </c:pt>
                <c:pt idx="26">
                  <c:v>2</c:v>
                </c:pt>
                <c:pt idx="27">
                  <c:v>2</c:v>
                </c:pt>
                <c:pt idx="28">
                  <c:v>4.3</c:v>
                </c:pt>
                <c:pt idx="29">
                  <c:v>3</c:v>
                </c:pt>
                <c:pt idx="30">
                  <c:v>1.45</c:v>
                </c:pt>
                <c:pt idx="31">
                  <c:v>2.5</c:v>
                </c:pt>
                <c:pt idx="32">
                  <c:v>3</c:v>
                </c:pt>
                <c:pt idx="33">
                  <c:v>2.4500000000000002</c:v>
                </c:pt>
                <c:pt idx="34">
                  <c:v>3.27</c:v>
                </c:pt>
                <c:pt idx="35">
                  <c:v>3.6</c:v>
                </c:pt>
                <c:pt idx="36">
                  <c:v>2</c:v>
                </c:pt>
                <c:pt idx="37">
                  <c:v>3.07</c:v>
                </c:pt>
                <c:pt idx="38">
                  <c:v>2.31</c:v>
                </c:pt>
                <c:pt idx="39">
                  <c:v>5</c:v>
                </c:pt>
                <c:pt idx="40">
                  <c:v>2.2400000000000002</c:v>
                </c:pt>
                <c:pt idx="41">
                  <c:v>2.54</c:v>
                </c:pt>
                <c:pt idx="42">
                  <c:v>3.06</c:v>
                </c:pt>
                <c:pt idx="43">
                  <c:v>1.32</c:v>
                </c:pt>
                <c:pt idx="44">
                  <c:v>5.6</c:v>
                </c:pt>
                <c:pt idx="45">
                  <c:v>3</c:v>
                </c:pt>
                <c:pt idx="46">
                  <c:v>5</c:v>
                </c:pt>
                <c:pt idx="47">
                  <c:v>6</c:v>
                </c:pt>
                <c:pt idx="48">
                  <c:v>2.0499999999999998</c:v>
                </c:pt>
                <c:pt idx="49">
                  <c:v>3</c:v>
                </c:pt>
                <c:pt idx="50">
                  <c:v>2.5</c:v>
                </c:pt>
                <c:pt idx="51">
                  <c:v>2.6</c:v>
                </c:pt>
                <c:pt idx="52">
                  <c:v>5.2</c:v>
                </c:pt>
                <c:pt idx="53">
                  <c:v>1.56</c:v>
                </c:pt>
                <c:pt idx="54">
                  <c:v>4.34</c:v>
                </c:pt>
                <c:pt idx="55">
                  <c:v>3.51</c:v>
                </c:pt>
                <c:pt idx="56">
                  <c:v>3</c:v>
                </c:pt>
                <c:pt idx="57">
                  <c:v>1.5</c:v>
                </c:pt>
                <c:pt idx="58">
                  <c:v>1.76</c:v>
                </c:pt>
                <c:pt idx="59">
                  <c:v>6.73</c:v>
                </c:pt>
                <c:pt idx="60">
                  <c:v>3.21</c:v>
                </c:pt>
                <c:pt idx="61">
                  <c:v>2</c:v>
                </c:pt>
                <c:pt idx="62">
                  <c:v>1.98</c:v>
                </c:pt>
                <c:pt idx="63">
                  <c:v>3.76</c:v>
                </c:pt>
                <c:pt idx="64">
                  <c:v>2.64</c:v>
                </c:pt>
                <c:pt idx="65">
                  <c:v>3.15</c:v>
                </c:pt>
                <c:pt idx="66">
                  <c:v>2.4700000000000002</c:v>
                </c:pt>
                <c:pt idx="67">
                  <c:v>1</c:v>
                </c:pt>
                <c:pt idx="68">
                  <c:v>2.0099999999999998</c:v>
                </c:pt>
                <c:pt idx="69">
                  <c:v>2.09</c:v>
                </c:pt>
                <c:pt idx="70">
                  <c:v>1.97</c:v>
                </c:pt>
                <c:pt idx="71">
                  <c:v>3</c:v>
                </c:pt>
                <c:pt idx="72">
                  <c:v>3.14</c:v>
                </c:pt>
                <c:pt idx="73">
                  <c:v>5</c:v>
                </c:pt>
                <c:pt idx="74">
                  <c:v>2.2000000000000002</c:v>
                </c:pt>
                <c:pt idx="75">
                  <c:v>1.25</c:v>
                </c:pt>
                <c:pt idx="76">
                  <c:v>3.08</c:v>
                </c:pt>
                <c:pt idx="77">
                  <c:v>4</c:v>
                </c:pt>
                <c:pt idx="78">
                  <c:v>3</c:v>
                </c:pt>
                <c:pt idx="79">
                  <c:v>2.71</c:v>
                </c:pt>
                <c:pt idx="80">
                  <c:v>3</c:v>
                </c:pt>
                <c:pt idx="81">
                  <c:v>3.4</c:v>
                </c:pt>
                <c:pt idx="82">
                  <c:v>1.83</c:v>
                </c:pt>
                <c:pt idx="83">
                  <c:v>5</c:v>
                </c:pt>
                <c:pt idx="84">
                  <c:v>2.0299999999999998</c:v>
                </c:pt>
                <c:pt idx="85">
                  <c:v>5.17</c:v>
                </c:pt>
                <c:pt idx="86">
                  <c:v>2</c:v>
                </c:pt>
                <c:pt idx="87">
                  <c:v>4</c:v>
                </c:pt>
                <c:pt idx="88">
                  <c:v>5.85</c:v>
                </c:pt>
                <c:pt idx="89">
                  <c:v>3</c:v>
                </c:pt>
                <c:pt idx="90">
                  <c:v>3</c:v>
                </c:pt>
                <c:pt idx="91">
                  <c:v>3.5</c:v>
                </c:pt>
                <c:pt idx="92">
                  <c:v>1</c:v>
                </c:pt>
                <c:pt idx="93">
                  <c:v>4.3</c:v>
                </c:pt>
                <c:pt idx="94">
                  <c:v>3.25</c:v>
                </c:pt>
                <c:pt idx="95">
                  <c:v>4.7300000000000004</c:v>
                </c:pt>
                <c:pt idx="96">
                  <c:v>4</c:v>
                </c:pt>
                <c:pt idx="97">
                  <c:v>1.5</c:v>
                </c:pt>
                <c:pt idx="98">
                  <c:v>3</c:v>
                </c:pt>
                <c:pt idx="99">
                  <c:v>1.5</c:v>
                </c:pt>
                <c:pt idx="100">
                  <c:v>2.5</c:v>
                </c:pt>
                <c:pt idx="101">
                  <c:v>3</c:v>
                </c:pt>
                <c:pt idx="102">
                  <c:v>2.5</c:v>
                </c:pt>
                <c:pt idx="103">
                  <c:v>3.48</c:v>
                </c:pt>
                <c:pt idx="104">
                  <c:v>4.08</c:v>
                </c:pt>
                <c:pt idx="105">
                  <c:v>1.64</c:v>
                </c:pt>
                <c:pt idx="106">
                  <c:v>4.0599999999999996</c:v>
                </c:pt>
                <c:pt idx="107">
                  <c:v>4.29</c:v>
                </c:pt>
                <c:pt idx="108">
                  <c:v>3.76</c:v>
                </c:pt>
                <c:pt idx="109">
                  <c:v>4</c:v>
                </c:pt>
                <c:pt idx="110">
                  <c:v>3</c:v>
                </c:pt>
                <c:pt idx="111">
                  <c:v>1</c:v>
                </c:pt>
                <c:pt idx="112">
                  <c:v>4</c:v>
                </c:pt>
                <c:pt idx="113">
                  <c:v>2.5499999999999998</c:v>
                </c:pt>
                <c:pt idx="114">
                  <c:v>4</c:v>
                </c:pt>
                <c:pt idx="115">
                  <c:v>3.5</c:v>
                </c:pt>
                <c:pt idx="116">
                  <c:v>5.07</c:v>
                </c:pt>
                <c:pt idx="117">
                  <c:v>1.5</c:v>
                </c:pt>
                <c:pt idx="118">
                  <c:v>1.8</c:v>
                </c:pt>
                <c:pt idx="119">
                  <c:v>2.92</c:v>
                </c:pt>
                <c:pt idx="120">
                  <c:v>2.31</c:v>
                </c:pt>
                <c:pt idx="121">
                  <c:v>1.68</c:v>
                </c:pt>
                <c:pt idx="122">
                  <c:v>2.5</c:v>
                </c:pt>
                <c:pt idx="123">
                  <c:v>2</c:v>
                </c:pt>
                <c:pt idx="124">
                  <c:v>2.52</c:v>
                </c:pt>
                <c:pt idx="125">
                  <c:v>4.2</c:v>
                </c:pt>
                <c:pt idx="126">
                  <c:v>1.48</c:v>
                </c:pt>
                <c:pt idx="127">
                  <c:v>2</c:v>
                </c:pt>
                <c:pt idx="128">
                  <c:v>2</c:v>
                </c:pt>
                <c:pt idx="129">
                  <c:v>2.1800000000000002</c:v>
                </c:pt>
                <c:pt idx="130">
                  <c:v>1.5</c:v>
                </c:pt>
                <c:pt idx="131">
                  <c:v>2.83</c:v>
                </c:pt>
                <c:pt idx="132">
                  <c:v>1.5</c:v>
                </c:pt>
                <c:pt idx="133">
                  <c:v>2</c:v>
                </c:pt>
                <c:pt idx="134">
                  <c:v>3.25</c:v>
                </c:pt>
                <c:pt idx="135">
                  <c:v>1.25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2.75</c:v>
                </c:pt>
                <c:pt idx="140">
                  <c:v>3.5</c:v>
                </c:pt>
                <c:pt idx="141">
                  <c:v>6.7</c:v>
                </c:pt>
                <c:pt idx="142">
                  <c:v>5</c:v>
                </c:pt>
                <c:pt idx="143">
                  <c:v>5</c:v>
                </c:pt>
                <c:pt idx="144">
                  <c:v>2.2999999999999998</c:v>
                </c:pt>
                <c:pt idx="145">
                  <c:v>1.5</c:v>
                </c:pt>
                <c:pt idx="146">
                  <c:v>1.36</c:v>
                </c:pt>
                <c:pt idx="147">
                  <c:v>1.63</c:v>
                </c:pt>
                <c:pt idx="148">
                  <c:v>1.73</c:v>
                </c:pt>
                <c:pt idx="149">
                  <c:v>2</c:v>
                </c:pt>
                <c:pt idx="150">
                  <c:v>2.5</c:v>
                </c:pt>
                <c:pt idx="151">
                  <c:v>2</c:v>
                </c:pt>
                <c:pt idx="152">
                  <c:v>2.74</c:v>
                </c:pt>
                <c:pt idx="153">
                  <c:v>2</c:v>
                </c:pt>
                <c:pt idx="154">
                  <c:v>2</c:v>
                </c:pt>
                <c:pt idx="155">
                  <c:v>5.14</c:v>
                </c:pt>
                <c:pt idx="156">
                  <c:v>5</c:v>
                </c:pt>
                <c:pt idx="157">
                  <c:v>3.75</c:v>
                </c:pt>
                <c:pt idx="158">
                  <c:v>2.61</c:v>
                </c:pt>
                <c:pt idx="159">
                  <c:v>2</c:v>
                </c:pt>
                <c:pt idx="160">
                  <c:v>3.5</c:v>
                </c:pt>
                <c:pt idx="161">
                  <c:v>2.5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3.48</c:v>
                </c:pt>
                <c:pt idx="166">
                  <c:v>2.2400000000000002</c:v>
                </c:pt>
                <c:pt idx="167">
                  <c:v>4.5</c:v>
                </c:pt>
                <c:pt idx="168">
                  <c:v>1.61</c:v>
                </c:pt>
                <c:pt idx="169">
                  <c:v>2</c:v>
                </c:pt>
                <c:pt idx="170">
                  <c:v>10</c:v>
                </c:pt>
                <c:pt idx="171">
                  <c:v>3.16</c:v>
                </c:pt>
                <c:pt idx="172">
                  <c:v>5.15</c:v>
                </c:pt>
                <c:pt idx="173">
                  <c:v>3.18</c:v>
                </c:pt>
                <c:pt idx="174">
                  <c:v>4</c:v>
                </c:pt>
                <c:pt idx="175">
                  <c:v>3.11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3.55</c:v>
                </c:pt>
                <c:pt idx="180">
                  <c:v>3.68</c:v>
                </c:pt>
                <c:pt idx="181">
                  <c:v>5.65</c:v>
                </c:pt>
                <c:pt idx="182">
                  <c:v>3.5</c:v>
                </c:pt>
                <c:pt idx="183">
                  <c:v>6.5</c:v>
                </c:pt>
                <c:pt idx="184">
                  <c:v>3</c:v>
                </c:pt>
                <c:pt idx="185">
                  <c:v>5</c:v>
                </c:pt>
                <c:pt idx="186">
                  <c:v>3.5</c:v>
                </c:pt>
                <c:pt idx="187">
                  <c:v>2</c:v>
                </c:pt>
                <c:pt idx="188">
                  <c:v>3.5</c:v>
                </c:pt>
                <c:pt idx="189">
                  <c:v>4</c:v>
                </c:pt>
                <c:pt idx="190">
                  <c:v>1.5</c:v>
                </c:pt>
                <c:pt idx="191">
                  <c:v>4.1900000000000004</c:v>
                </c:pt>
                <c:pt idx="192">
                  <c:v>2.56</c:v>
                </c:pt>
                <c:pt idx="193">
                  <c:v>2.02</c:v>
                </c:pt>
                <c:pt idx="194">
                  <c:v>4</c:v>
                </c:pt>
                <c:pt idx="195">
                  <c:v>1.44</c:v>
                </c:pt>
                <c:pt idx="196">
                  <c:v>2</c:v>
                </c:pt>
                <c:pt idx="197">
                  <c:v>5</c:v>
                </c:pt>
                <c:pt idx="198">
                  <c:v>2</c:v>
                </c:pt>
                <c:pt idx="199">
                  <c:v>2</c:v>
                </c:pt>
                <c:pt idx="200">
                  <c:v>4</c:v>
                </c:pt>
                <c:pt idx="201">
                  <c:v>2.0099999999999998</c:v>
                </c:pt>
                <c:pt idx="202">
                  <c:v>2.5</c:v>
                </c:pt>
                <c:pt idx="203">
                  <c:v>4</c:v>
                </c:pt>
                <c:pt idx="204">
                  <c:v>3.23</c:v>
                </c:pt>
                <c:pt idx="205">
                  <c:v>3.41</c:v>
                </c:pt>
                <c:pt idx="206">
                  <c:v>3</c:v>
                </c:pt>
                <c:pt idx="207">
                  <c:v>2.0299999999999998</c:v>
                </c:pt>
                <c:pt idx="208">
                  <c:v>2.23</c:v>
                </c:pt>
                <c:pt idx="209">
                  <c:v>2</c:v>
                </c:pt>
                <c:pt idx="210">
                  <c:v>5.16</c:v>
                </c:pt>
                <c:pt idx="211">
                  <c:v>9</c:v>
                </c:pt>
                <c:pt idx="212">
                  <c:v>2.5</c:v>
                </c:pt>
                <c:pt idx="213">
                  <c:v>6.5</c:v>
                </c:pt>
                <c:pt idx="214">
                  <c:v>1.1000000000000001</c:v>
                </c:pt>
                <c:pt idx="215">
                  <c:v>3</c:v>
                </c:pt>
                <c:pt idx="216">
                  <c:v>1.5</c:v>
                </c:pt>
                <c:pt idx="217">
                  <c:v>1.44</c:v>
                </c:pt>
                <c:pt idx="218">
                  <c:v>3.09</c:v>
                </c:pt>
                <c:pt idx="219">
                  <c:v>2.2000000000000002</c:v>
                </c:pt>
                <c:pt idx="220">
                  <c:v>3.48</c:v>
                </c:pt>
                <c:pt idx="221">
                  <c:v>1.92</c:v>
                </c:pt>
                <c:pt idx="222">
                  <c:v>3</c:v>
                </c:pt>
                <c:pt idx="223">
                  <c:v>1.58</c:v>
                </c:pt>
                <c:pt idx="224">
                  <c:v>2.5</c:v>
                </c:pt>
                <c:pt idx="225">
                  <c:v>2</c:v>
                </c:pt>
                <c:pt idx="226">
                  <c:v>3</c:v>
                </c:pt>
                <c:pt idx="227">
                  <c:v>2.72</c:v>
                </c:pt>
                <c:pt idx="228">
                  <c:v>2.88</c:v>
                </c:pt>
                <c:pt idx="229">
                  <c:v>2</c:v>
                </c:pt>
                <c:pt idx="230">
                  <c:v>3</c:v>
                </c:pt>
                <c:pt idx="231">
                  <c:v>3.39</c:v>
                </c:pt>
                <c:pt idx="232">
                  <c:v>1.47</c:v>
                </c:pt>
                <c:pt idx="233">
                  <c:v>3</c:v>
                </c:pt>
                <c:pt idx="234">
                  <c:v>1.25</c:v>
                </c:pt>
                <c:pt idx="235">
                  <c:v>1</c:v>
                </c:pt>
                <c:pt idx="236">
                  <c:v>1.17</c:v>
                </c:pt>
                <c:pt idx="237">
                  <c:v>4.67</c:v>
                </c:pt>
                <c:pt idx="238">
                  <c:v>5.92</c:v>
                </c:pt>
                <c:pt idx="239">
                  <c:v>2</c:v>
                </c:pt>
                <c:pt idx="240">
                  <c:v>2</c:v>
                </c:pt>
                <c:pt idx="241">
                  <c:v>1.75</c:v>
                </c:pt>
                <c:pt idx="24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27-4AD0-9C2D-D15CA27D3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980175"/>
        <c:axId val="1385981615"/>
      </c:scatterChart>
      <c:valAx>
        <c:axId val="138598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Smoker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81615"/>
        <c:crosses val="autoZero"/>
        <c:crossBetween val="midCat"/>
      </c:valAx>
      <c:valAx>
        <c:axId val="138598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8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Day-Tip Scatter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'Aligned Data'!$G$1</c:f>
              <c:strCache>
                <c:ptCount val="1"/>
                <c:pt idx="0">
                  <c:v>Actual tip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3481408573928259E-2"/>
                  <c:y val="-7.16728638086905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'Aligned Data'!$C$2:$C$244</c:f>
              <c:numCache>
                <c:formatCode>General</c:formatCode>
                <c:ptCount val="2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4</c:v>
                </c:pt>
              </c:numCache>
            </c:numRef>
          </c:xVal>
          <c:yVal>
            <c:numRef>
              <c:f>'Aligned Data'!$G$2:$G$244</c:f>
              <c:numCache>
                <c:formatCode>General</c:formatCode>
                <c:ptCount val="243"/>
                <c:pt idx="0">
                  <c:v>1.01</c:v>
                </c:pt>
                <c:pt idx="1">
                  <c:v>1.66</c:v>
                </c:pt>
                <c:pt idx="2">
                  <c:v>3.5</c:v>
                </c:pt>
                <c:pt idx="3">
                  <c:v>3.31</c:v>
                </c:pt>
                <c:pt idx="4">
                  <c:v>3.61</c:v>
                </c:pt>
                <c:pt idx="5">
                  <c:v>4.71</c:v>
                </c:pt>
                <c:pt idx="6">
                  <c:v>2</c:v>
                </c:pt>
                <c:pt idx="7">
                  <c:v>3.12</c:v>
                </c:pt>
                <c:pt idx="8">
                  <c:v>1.96</c:v>
                </c:pt>
                <c:pt idx="9">
                  <c:v>3.23</c:v>
                </c:pt>
                <c:pt idx="10">
                  <c:v>1.71</c:v>
                </c:pt>
                <c:pt idx="11">
                  <c:v>5</c:v>
                </c:pt>
                <c:pt idx="12">
                  <c:v>1.57</c:v>
                </c:pt>
                <c:pt idx="13">
                  <c:v>3</c:v>
                </c:pt>
                <c:pt idx="14">
                  <c:v>3.02</c:v>
                </c:pt>
                <c:pt idx="15">
                  <c:v>3.92</c:v>
                </c:pt>
                <c:pt idx="16">
                  <c:v>1.67</c:v>
                </c:pt>
                <c:pt idx="17">
                  <c:v>3.71</c:v>
                </c:pt>
                <c:pt idx="18">
                  <c:v>3.5</c:v>
                </c:pt>
                <c:pt idx="19">
                  <c:v>3.35</c:v>
                </c:pt>
                <c:pt idx="20">
                  <c:v>4.08</c:v>
                </c:pt>
                <c:pt idx="21">
                  <c:v>2.75</c:v>
                </c:pt>
                <c:pt idx="22">
                  <c:v>2.23</c:v>
                </c:pt>
                <c:pt idx="23">
                  <c:v>7.58</c:v>
                </c:pt>
                <c:pt idx="24">
                  <c:v>3.18</c:v>
                </c:pt>
                <c:pt idx="25">
                  <c:v>2.34</c:v>
                </c:pt>
                <c:pt idx="26">
                  <c:v>2</c:v>
                </c:pt>
                <c:pt idx="27">
                  <c:v>2</c:v>
                </c:pt>
                <c:pt idx="28">
                  <c:v>4.3</c:v>
                </c:pt>
                <c:pt idx="29">
                  <c:v>3</c:v>
                </c:pt>
                <c:pt idx="30">
                  <c:v>1.45</c:v>
                </c:pt>
                <c:pt idx="31">
                  <c:v>2.5</c:v>
                </c:pt>
                <c:pt idx="32">
                  <c:v>3</c:v>
                </c:pt>
                <c:pt idx="33">
                  <c:v>2.4500000000000002</c:v>
                </c:pt>
                <c:pt idx="34">
                  <c:v>3.27</c:v>
                </c:pt>
                <c:pt idx="35">
                  <c:v>3.6</c:v>
                </c:pt>
                <c:pt idx="36">
                  <c:v>2</c:v>
                </c:pt>
                <c:pt idx="37">
                  <c:v>3.07</c:v>
                </c:pt>
                <c:pt idx="38">
                  <c:v>2.31</c:v>
                </c:pt>
                <c:pt idx="39">
                  <c:v>5</c:v>
                </c:pt>
                <c:pt idx="40">
                  <c:v>2.2400000000000002</c:v>
                </c:pt>
                <c:pt idx="41">
                  <c:v>2.54</c:v>
                </c:pt>
                <c:pt idx="42">
                  <c:v>3.06</c:v>
                </c:pt>
                <c:pt idx="43">
                  <c:v>1.32</c:v>
                </c:pt>
                <c:pt idx="44">
                  <c:v>5.6</c:v>
                </c:pt>
                <c:pt idx="45">
                  <c:v>3</c:v>
                </c:pt>
                <c:pt idx="46">
                  <c:v>5</c:v>
                </c:pt>
                <c:pt idx="47">
                  <c:v>6</c:v>
                </c:pt>
                <c:pt idx="48">
                  <c:v>2.0499999999999998</c:v>
                </c:pt>
                <c:pt idx="49">
                  <c:v>3</c:v>
                </c:pt>
                <c:pt idx="50">
                  <c:v>2.5</c:v>
                </c:pt>
                <c:pt idx="51">
                  <c:v>2.6</c:v>
                </c:pt>
                <c:pt idx="52">
                  <c:v>5.2</c:v>
                </c:pt>
                <c:pt idx="53">
                  <c:v>1.56</c:v>
                </c:pt>
                <c:pt idx="54">
                  <c:v>4.34</c:v>
                </c:pt>
                <c:pt idx="55">
                  <c:v>3.51</c:v>
                </c:pt>
                <c:pt idx="56">
                  <c:v>3</c:v>
                </c:pt>
                <c:pt idx="57">
                  <c:v>1.5</c:v>
                </c:pt>
                <c:pt idx="58">
                  <c:v>1.76</c:v>
                </c:pt>
                <c:pt idx="59">
                  <c:v>6.73</c:v>
                </c:pt>
                <c:pt idx="60">
                  <c:v>3.21</c:v>
                </c:pt>
                <c:pt idx="61">
                  <c:v>2</c:v>
                </c:pt>
                <c:pt idx="62">
                  <c:v>1.98</c:v>
                </c:pt>
                <c:pt idx="63">
                  <c:v>3.76</c:v>
                </c:pt>
                <c:pt idx="64">
                  <c:v>2.64</c:v>
                </c:pt>
                <c:pt idx="65">
                  <c:v>3.15</c:v>
                </c:pt>
                <c:pt idx="66">
                  <c:v>2.4700000000000002</c:v>
                </c:pt>
                <c:pt idx="67">
                  <c:v>1</c:v>
                </c:pt>
                <c:pt idx="68">
                  <c:v>2.0099999999999998</c:v>
                </c:pt>
                <c:pt idx="69">
                  <c:v>2.09</c:v>
                </c:pt>
                <c:pt idx="70">
                  <c:v>1.97</c:v>
                </c:pt>
                <c:pt idx="71">
                  <c:v>3</c:v>
                </c:pt>
                <c:pt idx="72">
                  <c:v>3.14</c:v>
                </c:pt>
                <c:pt idx="73">
                  <c:v>5</c:v>
                </c:pt>
                <c:pt idx="74">
                  <c:v>2.2000000000000002</c:v>
                </c:pt>
                <c:pt idx="75">
                  <c:v>1.25</c:v>
                </c:pt>
                <c:pt idx="76">
                  <c:v>3.08</c:v>
                </c:pt>
                <c:pt idx="77">
                  <c:v>4</c:v>
                </c:pt>
                <c:pt idx="78">
                  <c:v>3</c:v>
                </c:pt>
                <c:pt idx="79">
                  <c:v>2.71</c:v>
                </c:pt>
                <c:pt idx="80">
                  <c:v>3</c:v>
                </c:pt>
                <c:pt idx="81">
                  <c:v>3.4</c:v>
                </c:pt>
                <c:pt idx="82">
                  <c:v>1.83</c:v>
                </c:pt>
                <c:pt idx="83">
                  <c:v>5</c:v>
                </c:pt>
                <c:pt idx="84">
                  <c:v>2.0299999999999998</c:v>
                </c:pt>
                <c:pt idx="85">
                  <c:v>5.17</c:v>
                </c:pt>
                <c:pt idx="86">
                  <c:v>2</c:v>
                </c:pt>
                <c:pt idx="87">
                  <c:v>4</c:v>
                </c:pt>
                <c:pt idx="88">
                  <c:v>5.85</c:v>
                </c:pt>
                <c:pt idx="89">
                  <c:v>3</c:v>
                </c:pt>
                <c:pt idx="90">
                  <c:v>3</c:v>
                </c:pt>
                <c:pt idx="91">
                  <c:v>3.5</c:v>
                </c:pt>
                <c:pt idx="92">
                  <c:v>1</c:v>
                </c:pt>
                <c:pt idx="93">
                  <c:v>4.3</c:v>
                </c:pt>
                <c:pt idx="94">
                  <c:v>3.25</c:v>
                </c:pt>
                <c:pt idx="95">
                  <c:v>4.7300000000000004</c:v>
                </c:pt>
                <c:pt idx="96">
                  <c:v>4</c:v>
                </c:pt>
                <c:pt idx="97">
                  <c:v>1.5</c:v>
                </c:pt>
                <c:pt idx="98">
                  <c:v>3</c:v>
                </c:pt>
                <c:pt idx="99">
                  <c:v>1.5</c:v>
                </c:pt>
                <c:pt idx="100">
                  <c:v>2.5</c:v>
                </c:pt>
                <c:pt idx="101">
                  <c:v>3</c:v>
                </c:pt>
                <c:pt idx="102">
                  <c:v>2.5</c:v>
                </c:pt>
                <c:pt idx="103">
                  <c:v>3.48</c:v>
                </c:pt>
                <c:pt idx="104">
                  <c:v>4.08</c:v>
                </c:pt>
                <c:pt idx="105">
                  <c:v>1.64</c:v>
                </c:pt>
                <c:pt idx="106">
                  <c:v>4.0599999999999996</c:v>
                </c:pt>
                <c:pt idx="107">
                  <c:v>4.29</c:v>
                </c:pt>
                <c:pt idx="108">
                  <c:v>3.76</c:v>
                </c:pt>
                <c:pt idx="109">
                  <c:v>4</c:v>
                </c:pt>
                <c:pt idx="110">
                  <c:v>3</c:v>
                </c:pt>
                <c:pt idx="111">
                  <c:v>1</c:v>
                </c:pt>
                <c:pt idx="112">
                  <c:v>4</c:v>
                </c:pt>
                <c:pt idx="113">
                  <c:v>2.5499999999999998</c:v>
                </c:pt>
                <c:pt idx="114">
                  <c:v>4</c:v>
                </c:pt>
                <c:pt idx="115">
                  <c:v>3.5</c:v>
                </c:pt>
                <c:pt idx="116">
                  <c:v>5.07</c:v>
                </c:pt>
                <c:pt idx="117">
                  <c:v>1.5</c:v>
                </c:pt>
                <c:pt idx="118">
                  <c:v>1.8</c:v>
                </c:pt>
                <c:pt idx="119">
                  <c:v>2.92</c:v>
                </c:pt>
                <c:pt idx="120">
                  <c:v>2.31</c:v>
                </c:pt>
                <c:pt idx="121">
                  <c:v>1.68</c:v>
                </c:pt>
                <c:pt idx="122">
                  <c:v>2.5</c:v>
                </c:pt>
                <c:pt idx="123">
                  <c:v>2</c:v>
                </c:pt>
                <c:pt idx="124">
                  <c:v>2.52</c:v>
                </c:pt>
                <c:pt idx="125">
                  <c:v>4.2</c:v>
                </c:pt>
                <c:pt idx="126">
                  <c:v>1.48</c:v>
                </c:pt>
                <c:pt idx="127">
                  <c:v>2</c:v>
                </c:pt>
                <c:pt idx="128">
                  <c:v>2</c:v>
                </c:pt>
                <c:pt idx="129">
                  <c:v>2.1800000000000002</c:v>
                </c:pt>
                <c:pt idx="130">
                  <c:v>1.5</c:v>
                </c:pt>
                <c:pt idx="131">
                  <c:v>2.83</c:v>
                </c:pt>
                <c:pt idx="132">
                  <c:v>1.5</c:v>
                </c:pt>
                <c:pt idx="133">
                  <c:v>2</c:v>
                </c:pt>
                <c:pt idx="134">
                  <c:v>3.25</c:v>
                </c:pt>
                <c:pt idx="135">
                  <c:v>1.25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2.75</c:v>
                </c:pt>
                <c:pt idx="140">
                  <c:v>3.5</c:v>
                </c:pt>
                <c:pt idx="141">
                  <c:v>6.7</c:v>
                </c:pt>
                <c:pt idx="142">
                  <c:v>5</c:v>
                </c:pt>
                <c:pt idx="143">
                  <c:v>5</c:v>
                </c:pt>
                <c:pt idx="144">
                  <c:v>2.2999999999999998</c:v>
                </c:pt>
                <c:pt idx="145">
                  <c:v>1.5</c:v>
                </c:pt>
                <c:pt idx="146">
                  <c:v>1.36</c:v>
                </c:pt>
                <c:pt idx="147">
                  <c:v>1.63</c:v>
                </c:pt>
                <c:pt idx="148">
                  <c:v>1.73</c:v>
                </c:pt>
                <c:pt idx="149">
                  <c:v>2</c:v>
                </c:pt>
                <c:pt idx="150">
                  <c:v>2.5</c:v>
                </c:pt>
                <c:pt idx="151">
                  <c:v>2</c:v>
                </c:pt>
                <c:pt idx="152">
                  <c:v>2.74</c:v>
                </c:pt>
                <c:pt idx="153">
                  <c:v>2</c:v>
                </c:pt>
                <c:pt idx="154">
                  <c:v>2</c:v>
                </c:pt>
                <c:pt idx="155">
                  <c:v>5.14</c:v>
                </c:pt>
                <c:pt idx="156">
                  <c:v>5</c:v>
                </c:pt>
                <c:pt idx="157">
                  <c:v>3.75</c:v>
                </c:pt>
                <c:pt idx="158">
                  <c:v>2.61</c:v>
                </c:pt>
                <c:pt idx="159">
                  <c:v>2</c:v>
                </c:pt>
                <c:pt idx="160">
                  <c:v>3.5</c:v>
                </c:pt>
                <c:pt idx="161">
                  <c:v>2.5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3.48</c:v>
                </c:pt>
                <c:pt idx="166">
                  <c:v>2.2400000000000002</c:v>
                </c:pt>
                <c:pt idx="167">
                  <c:v>4.5</c:v>
                </c:pt>
                <c:pt idx="168">
                  <c:v>1.61</c:v>
                </c:pt>
                <c:pt idx="169">
                  <c:v>2</c:v>
                </c:pt>
                <c:pt idx="170">
                  <c:v>10</c:v>
                </c:pt>
                <c:pt idx="171">
                  <c:v>3.16</c:v>
                </c:pt>
                <c:pt idx="172">
                  <c:v>5.15</c:v>
                </c:pt>
                <c:pt idx="173">
                  <c:v>3.18</c:v>
                </c:pt>
                <c:pt idx="174">
                  <c:v>4</c:v>
                </c:pt>
                <c:pt idx="175">
                  <c:v>3.11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3.55</c:v>
                </c:pt>
                <c:pt idx="180">
                  <c:v>3.68</c:v>
                </c:pt>
                <c:pt idx="181">
                  <c:v>5.65</c:v>
                </c:pt>
                <c:pt idx="182">
                  <c:v>3.5</c:v>
                </c:pt>
                <c:pt idx="183">
                  <c:v>6.5</c:v>
                </c:pt>
                <c:pt idx="184">
                  <c:v>3</c:v>
                </c:pt>
                <c:pt idx="185">
                  <c:v>5</c:v>
                </c:pt>
                <c:pt idx="186">
                  <c:v>3.5</c:v>
                </c:pt>
                <c:pt idx="187">
                  <c:v>2</c:v>
                </c:pt>
                <c:pt idx="188">
                  <c:v>3.5</c:v>
                </c:pt>
                <c:pt idx="189">
                  <c:v>4</c:v>
                </c:pt>
                <c:pt idx="190">
                  <c:v>1.5</c:v>
                </c:pt>
                <c:pt idx="191">
                  <c:v>4.1900000000000004</c:v>
                </c:pt>
                <c:pt idx="192">
                  <c:v>2.56</c:v>
                </c:pt>
                <c:pt idx="193">
                  <c:v>2.02</c:v>
                </c:pt>
                <c:pt idx="194">
                  <c:v>4</c:v>
                </c:pt>
                <c:pt idx="195">
                  <c:v>1.44</c:v>
                </c:pt>
                <c:pt idx="196">
                  <c:v>2</c:v>
                </c:pt>
                <c:pt idx="197">
                  <c:v>5</c:v>
                </c:pt>
                <c:pt idx="198">
                  <c:v>2</c:v>
                </c:pt>
                <c:pt idx="199">
                  <c:v>2</c:v>
                </c:pt>
                <c:pt idx="200">
                  <c:v>4</c:v>
                </c:pt>
                <c:pt idx="201">
                  <c:v>2.0099999999999998</c:v>
                </c:pt>
                <c:pt idx="202">
                  <c:v>2.5</c:v>
                </c:pt>
                <c:pt idx="203">
                  <c:v>4</c:v>
                </c:pt>
                <c:pt idx="204">
                  <c:v>3.23</c:v>
                </c:pt>
                <c:pt idx="205">
                  <c:v>3.41</c:v>
                </c:pt>
                <c:pt idx="206">
                  <c:v>3</c:v>
                </c:pt>
                <c:pt idx="207">
                  <c:v>2.0299999999999998</c:v>
                </c:pt>
                <c:pt idx="208">
                  <c:v>2.23</c:v>
                </c:pt>
                <c:pt idx="209">
                  <c:v>2</c:v>
                </c:pt>
                <c:pt idx="210">
                  <c:v>5.16</c:v>
                </c:pt>
                <c:pt idx="211">
                  <c:v>9</c:v>
                </c:pt>
                <c:pt idx="212">
                  <c:v>2.5</c:v>
                </c:pt>
                <c:pt idx="213">
                  <c:v>6.5</c:v>
                </c:pt>
                <c:pt idx="214">
                  <c:v>1.1000000000000001</c:v>
                </c:pt>
                <c:pt idx="215">
                  <c:v>3</c:v>
                </c:pt>
                <c:pt idx="216">
                  <c:v>1.5</c:v>
                </c:pt>
                <c:pt idx="217">
                  <c:v>1.44</c:v>
                </c:pt>
                <c:pt idx="218">
                  <c:v>3.09</c:v>
                </c:pt>
                <c:pt idx="219">
                  <c:v>2.2000000000000002</c:v>
                </c:pt>
                <c:pt idx="220">
                  <c:v>3.48</c:v>
                </c:pt>
                <c:pt idx="221">
                  <c:v>1.92</c:v>
                </c:pt>
                <c:pt idx="222">
                  <c:v>3</c:v>
                </c:pt>
                <c:pt idx="223">
                  <c:v>1.58</c:v>
                </c:pt>
                <c:pt idx="224">
                  <c:v>2.5</c:v>
                </c:pt>
                <c:pt idx="225">
                  <c:v>2</c:v>
                </c:pt>
                <c:pt idx="226">
                  <c:v>3</c:v>
                </c:pt>
                <c:pt idx="227">
                  <c:v>2.72</c:v>
                </c:pt>
                <c:pt idx="228">
                  <c:v>2.88</c:v>
                </c:pt>
                <c:pt idx="229">
                  <c:v>2</c:v>
                </c:pt>
                <c:pt idx="230">
                  <c:v>3</c:v>
                </c:pt>
                <c:pt idx="231">
                  <c:v>3.39</c:v>
                </c:pt>
                <c:pt idx="232">
                  <c:v>1.47</c:v>
                </c:pt>
                <c:pt idx="233">
                  <c:v>3</c:v>
                </c:pt>
                <c:pt idx="234">
                  <c:v>1.25</c:v>
                </c:pt>
                <c:pt idx="235">
                  <c:v>1</c:v>
                </c:pt>
                <c:pt idx="236">
                  <c:v>1.17</c:v>
                </c:pt>
                <c:pt idx="237">
                  <c:v>4.67</c:v>
                </c:pt>
                <c:pt idx="238">
                  <c:v>5.92</c:v>
                </c:pt>
                <c:pt idx="239">
                  <c:v>2</c:v>
                </c:pt>
                <c:pt idx="240">
                  <c:v>2</c:v>
                </c:pt>
                <c:pt idx="241">
                  <c:v>1.75</c:v>
                </c:pt>
                <c:pt idx="24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76-4F28-8902-C7D7DF74A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997455"/>
        <c:axId val="1385982575"/>
      </c:scatterChart>
      <c:valAx>
        <c:axId val="138599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82575"/>
        <c:crosses val="autoZero"/>
        <c:crossBetween val="midCat"/>
      </c:valAx>
      <c:valAx>
        <c:axId val="138598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97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Time-Tip Scatter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'Aligned Data'!$G$1</c:f>
              <c:strCache>
                <c:ptCount val="1"/>
                <c:pt idx="0">
                  <c:v>Actual tip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6410761154855642E-2"/>
                  <c:y val="-6.14286235053951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'Aligned Data'!$D$2:$D$244</c:f>
              <c:numCache>
                <c:formatCode>General</c:formatCode>
                <c:ptCount val="2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</c:numCache>
            </c:numRef>
          </c:xVal>
          <c:yVal>
            <c:numRef>
              <c:f>'Aligned Data'!$G$2:$G$244</c:f>
              <c:numCache>
                <c:formatCode>General</c:formatCode>
                <c:ptCount val="243"/>
                <c:pt idx="0">
                  <c:v>1.01</c:v>
                </c:pt>
                <c:pt idx="1">
                  <c:v>1.66</c:v>
                </c:pt>
                <c:pt idx="2">
                  <c:v>3.5</c:v>
                </c:pt>
                <c:pt idx="3">
                  <c:v>3.31</c:v>
                </c:pt>
                <c:pt idx="4">
                  <c:v>3.61</c:v>
                </c:pt>
                <c:pt idx="5">
                  <c:v>4.71</c:v>
                </c:pt>
                <c:pt idx="6">
                  <c:v>2</c:v>
                </c:pt>
                <c:pt idx="7">
                  <c:v>3.12</c:v>
                </c:pt>
                <c:pt idx="8">
                  <c:v>1.96</c:v>
                </c:pt>
                <c:pt idx="9">
                  <c:v>3.23</c:v>
                </c:pt>
                <c:pt idx="10">
                  <c:v>1.71</c:v>
                </c:pt>
                <c:pt idx="11">
                  <c:v>5</c:v>
                </c:pt>
                <c:pt idx="12">
                  <c:v>1.57</c:v>
                </c:pt>
                <c:pt idx="13">
                  <c:v>3</c:v>
                </c:pt>
                <c:pt idx="14">
                  <c:v>3.02</c:v>
                </c:pt>
                <c:pt idx="15">
                  <c:v>3.92</c:v>
                </c:pt>
                <c:pt idx="16">
                  <c:v>1.67</c:v>
                </c:pt>
                <c:pt idx="17">
                  <c:v>3.71</c:v>
                </c:pt>
                <c:pt idx="18">
                  <c:v>3.5</c:v>
                </c:pt>
                <c:pt idx="19">
                  <c:v>3.35</c:v>
                </c:pt>
                <c:pt idx="20">
                  <c:v>4.08</c:v>
                </c:pt>
                <c:pt idx="21">
                  <c:v>2.75</c:v>
                </c:pt>
                <c:pt idx="22">
                  <c:v>2.23</c:v>
                </c:pt>
                <c:pt idx="23">
                  <c:v>7.58</c:v>
                </c:pt>
                <c:pt idx="24">
                  <c:v>3.18</c:v>
                </c:pt>
                <c:pt idx="25">
                  <c:v>2.34</c:v>
                </c:pt>
                <c:pt idx="26">
                  <c:v>2</c:v>
                </c:pt>
                <c:pt idx="27">
                  <c:v>2</c:v>
                </c:pt>
                <c:pt idx="28">
                  <c:v>4.3</c:v>
                </c:pt>
                <c:pt idx="29">
                  <c:v>3</c:v>
                </c:pt>
                <c:pt idx="30">
                  <c:v>1.45</c:v>
                </c:pt>
                <c:pt idx="31">
                  <c:v>2.5</c:v>
                </c:pt>
                <c:pt idx="32">
                  <c:v>3</c:v>
                </c:pt>
                <c:pt idx="33">
                  <c:v>2.4500000000000002</c:v>
                </c:pt>
                <c:pt idx="34">
                  <c:v>3.27</c:v>
                </c:pt>
                <c:pt idx="35">
                  <c:v>3.6</c:v>
                </c:pt>
                <c:pt idx="36">
                  <c:v>2</c:v>
                </c:pt>
                <c:pt idx="37">
                  <c:v>3.07</c:v>
                </c:pt>
                <c:pt idx="38">
                  <c:v>2.31</c:v>
                </c:pt>
                <c:pt idx="39">
                  <c:v>5</c:v>
                </c:pt>
                <c:pt idx="40">
                  <c:v>2.2400000000000002</c:v>
                </c:pt>
                <c:pt idx="41">
                  <c:v>2.54</c:v>
                </c:pt>
                <c:pt idx="42">
                  <c:v>3.06</c:v>
                </c:pt>
                <c:pt idx="43">
                  <c:v>1.32</c:v>
                </c:pt>
                <c:pt idx="44">
                  <c:v>5.6</c:v>
                </c:pt>
                <c:pt idx="45">
                  <c:v>3</c:v>
                </c:pt>
                <c:pt idx="46">
                  <c:v>5</c:v>
                </c:pt>
                <c:pt idx="47">
                  <c:v>6</c:v>
                </c:pt>
                <c:pt idx="48">
                  <c:v>2.0499999999999998</c:v>
                </c:pt>
                <c:pt idx="49">
                  <c:v>3</c:v>
                </c:pt>
                <c:pt idx="50">
                  <c:v>2.5</c:v>
                </c:pt>
                <c:pt idx="51">
                  <c:v>2.6</c:v>
                </c:pt>
                <c:pt idx="52">
                  <c:v>5.2</c:v>
                </c:pt>
                <c:pt idx="53">
                  <c:v>1.56</c:v>
                </c:pt>
                <c:pt idx="54">
                  <c:v>4.34</c:v>
                </c:pt>
                <c:pt idx="55">
                  <c:v>3.51</c:v>
                </c:pt>
                <c:pt idx="56">
                  <c:v>3</c:v>
                </c:pt>
                <c:pt idx="57">
                  <c:v>1.5</c:v>
                </c:pt>
                <c:pt idx="58">
                  <c:v>1.76</c:v>
                </c:pt>
                <c:pt idx="59">
                  <c:v>6.73</c:v>
                </c:pt>
                <c:pt idx="60">
                  <c:v>3.21</c:v>
                </c:pt>
                <c:pt idx="61">
                  <c:v>2</c:v>
                </c:pt>
                <c:pt idx="62">
                  <c:v>1.98</c:v>
                </c:pt>
                <c:pt idx="63">
                  <c:v>3.76</c:v>
                </c:pt>
                <c:pt idx="64">
                  <c:v>2.64</c:v>
                </c:pt>
                <c:pt idx="65">
                  <c:v>3.15</c:v>
                </c:pt>
                <c:pt idx="66">
                  <c:v>2.4700000000000002</c:v>
                </c:pt>
                <c:pt idx="67">
                  <c:v>1</c:v>
                </c:pt>
                <c:pt idx="68">
                  <c:v>2.0099999999999998</c:v>
                </c:pt>
                <c:pt idx="69">
                  <c:v>2.09</c:v>
                </c:pt>
                <c:pt idx="70">
                  <c:v>1.97</c:v>
                </c:pt>
                <c:pt idx="71">
                  <c:v>3</c:v>
                </c:pt>
                <c:pt idx="72">
                  <c:v>3.14</c:v>
                </c:pt>
                <c:pt idx="73">
                  <c:v>5</c:v>
                </c:pt>
                <c:pt idx="74">
                  <c:v>2.2000000000000002</c:v>
                </c:pt>
                <c:pt idx="75">
                  <c:v>1.25</c:v>
                </c:pt>
                <c:pt idx="76">
                  <c:v>3.08</c:v>
                </c:pt>
                <c:pt idx="77">
                  <c:v>4</c:v>
                </c:pt>
                <c:pt idx="78">
                  <c:v>3</c:v>
                </c:pt>
                <c:pt idx="79">
                  <c:v>2.71</c:v>
                </c:pt>
                <c:pt idx="80">
                  <c:v>3</c:v>
                </c:pt>
                <c:pt idx="81">
                  <c:v>3.4</c:v>
                </c:pt>
                <c:pt idx="82">
                  <c:v>1.83</c:v>
                </c:pt>
                <c:pt idx="83">
                  <c:v>5</c:v>
                </c:pt>
                <c:pt idx="84">
                  <c:v>2.0299999999999998</c:v>
                </c:pt>
                <c:pt idx="85">
                  <c:v>5.17</c:v>
                </c:pt>
                <c:pt idx="86">
                  <c:v>2</c:v>
                </c:pt>
                <c:pt idx="87">
                  <c:v>4</c:v>
                </c:pt>
                <c:pt idx="88">
                  <c:v>5.85</c:v>
                </c:pt>
                <c:pt idx="89">
                  <c:v>3</c:v>
                </c:pt>
                <c:pt idx="90">
                  <c:v>3</c:v>
                </c:pt>
                <c:pt idx="91">
                  <c:v>3.5</c:v>
                </c:pt>
                <c:pt idx="92">
                  <c:v>1</c:v>
                </c:pt>
                <c:pt idx="93">
                  <c:v>4.3</c:v>
                </c:pt>
                <c:pt idx="94">
                  <c:v>3.25</c:v>
                </c:pt>
                <c:pt idx="95">
                  <c:v>4.7300000000000004</c:v>
                </c:pt>
                <c:pt idx="96">
                  <c:v>4</c:v>
                </c:pt>
                <c:pt idx="97">
                  <c:v>1.5</c:v>
                </c:pt>
                <c:pt idx="98">
                  <c:v>3</c:v>
                </c:pt>
                <c:pt idx="99">
                  <c:v>1.5</c:v>
                </c:pt>
                <c:pt idx="100">
                  <c:v>2.5</c:v>
                </c:pt>
                <c:pt idx="101">
                  <c:v>3</c:v>
                </c:pt>
                <c:pt idx="102">
                  <c:v>2.5</c:v>
                </c:pt>
                <c:pt idx="103">
                  <c:v>3.48</c:v>
                </c:pt>
                <c:pt idx="104">
                  <c:v>4.08</c:v>
                </c:pt>
                <c:pt idx="105">
                  <c:v>1.64</c:v>
                </c:pt>
                <c:pt idx="106">
                  <c:v>4.0599999999999996</c:v>
                </c:pt>
                <c:pt idx="107">
                  <c:v>4.29</c:v>
                </c:pt>
                <c:pt idx="108">
                  <c:v>3.76</c:v>
                </c:pt>
                <c:pt idx="109">
                  <c:v>4</c:v>
                </c:pt>
                <c:pt idx="110">
                  <c:v>3</c:v>
                </c:pt>
                <c:pt idx="111">
                  <c:v>1</c:v>
                </c:pt>
                <c:pt idx="112">
                  <c:v>4</c:v>
                </c:pt>
                <c:pt idx="113">
                  <c:v>2.5499999999999998</c:v>
                </c:pt>
                <c:pt idx="114">
                  <c:v>4</c:v>
                </c:pt>
                <c:pt idx="115">
                  <c:v>3.5</c:v>
                </c:pt>
                <c:pt idx="116">
                  <c:v>5.07</c:v>
                </c:pt>
                <c:pt idx="117">
                  <c:v>1.5</c:v>
                </c:pt>
                <c:pt idx="118">
                  <c:v>1.8</c:v>
                </c:pt>
                <c:pt idx="119">
                  <c:v>2.92</c:v>
                </c:pt>
                <c:pt idx="120">
                  <c:v>2.31</c:v>
                </c:pt>
                <c:pt idx="121">
                  <c:v>1.68</c:v>
                </c:pt>
                <c:pt idx="122">
                  <c:v>2.5</c:v>
                </c:pt>
                <c:pt idx="123">
                  <c:v>2</c:v>
                </c:pt>
                <c:pt idx="124">
                  <c:v>2.52</c:v>
                </c:pt>
                <c:pt idx="125">
                  <c:v>4.2</c:v>
                </c:pt>
                <c:pt idx="126">
                  <c:v>1.48</c:v>
                </c:pt>
                <c:pt idx="127">
                  <c:v>2</c:v>
                </c:pt>
                <c:pt idx="128">
                  <c:v>2</c:v>
                </c:pt>
                <c:pt idx="129">
                  <c:v>2.1800000000000002</c:v>
                </c:pt>
                <c:pt idx="130">
                  <c:v>1.5</c:v>
                </c:pt>
                <c:pt idx="131">
                  <c:v>2.83</c:v>
                </c:pt>
                <c:pt idx="132">
                  <c:v>1.5</c:v>
                </c:pt>
                <c:pt idx="133">
                  <c:v>2</c:v>
                </c:pt>
                <c:pt idx="134">
                  <c:v>3.25</c:v>
                </c:pt>
                <c:pt idx="135">
                  <c:v>1.25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2.75</c:v>
                </c:pt>
                <c:pt idx="140">
                  <c:v>3.5</c:v>
                </c:pt>
                <c:pt idx="141">
                  <c:v>6.7</c:v>
                </c:pt>
                <c:pt idx="142">
                  <c:v>5</c:v>
                </c:pt>
                <c:pt idx="143">
                  <c:v>5</c:v>
                </c:pt>
                <c:pt idx="144">
                  <c:v>2.2999999999999998</c:v>
                </c:pt>
                <c:pt idx="145">
                  <c:v>1.5</c:v>
                </c:pt>
                <c:pt idx="146">
                  <c:v>1.36</c:v>
                </c:pt>
                <c:pt idx="147">
                  <c:v>1.63</c:v>
                </c:pt>
                <c:pt idx="148">
                  <c:v>1.73</c:v>
                </c:pt>
                <c:pt idx="149">
                  <c:v>2</c:v>
                </c:pt>
                <c:pt idx="150">
                  <c:v>2.5</c:v>
                </c:pt>
                <c:pt idx="151">
                  <c:v>2</c:v>
                </c:pt>
                <c:pt idx="152">
                  <c:v>2.74</c:v>
                </c:pt>
                <c:pt idx="153">
                  <c:v>2</c:v>
                </c:pt>
                <c:pt idx="154">
                  <c:v>2</c:v>
                </c:pt>
                <c:pt idx="155">
                  <c:v>5.14</c:v>
                </c:pt>
                <c:pt idx="156">
                  <c:v>5</c:v>
                </c:pt>
                <c:pt idx="157">
                  <c:v>3.75</c:v>
                </c:pt>
                <c:pt idx="158">
                  <c:v>2.61</c:v>
                </c:pt>
                <c:pt idx="159">
                  <c:v>2</c:v>
                </c:pt>
                <c:pt idx="160">
                  <c:v>3.5</c:v>
                </c:pt>
                <c:pt idx="161">
                  <c:v>2.5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3.48</c:v>
                </c:pt>
                <c:pt idx="166">
                  <c:v>2.2400000000000002</c:v>
                </c:pt>
                <c:pt idx="167">
                  <c:v>4.5</c:v>
                </c:pt>
                <c:pt idx="168">
                  <c:v>1.61</c:v>
                </c:pt>
                <c:pt idx="169">
                  <c:v>2</c:v>
                </c:pt>
                <c:pt idx="170">
                  <c:v>10</c:v>
                </c:pt>
                <c:pt idx="171">
                  <c:v>3.16</c:v>
                </c:pt>
                <c:pt idx="172">
                  <c:v>5.15</c:v>
                </c:pt>
                <c:pt idx="173">
                  <c:v>3.18</c:v>
                </c:pt>
                <c:pt idx="174">
                  <c:v>4</c:v>
                </c:pt>
                <c:pt idx="175">
                  <c:v>3.11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3.55</c:v>
                </c:pt>
                <c:pt idx="180">
                  <c:v>3.68</c:v>
                </c:pt>
                <c:pt idx="181">
                  <c:v>5.65</c:v>
                </c:pt>
                <c:pt idx="182">
                  <c:v>3.5</c:v>
                </c:pt>
                <c:pt idx="183">
                  <c:v>6.5</c:v>
                </c:pt>
                <c:pt idx="184">
                  <c:v>3</c:v>
                </c:pt>
                <c:pt idx="185">
                  <c:v>5</c:v>
                </c:pt>
                <c:pt idx="186">
                  <c:v>3.5</c:v>
                </c:pt>
                <c:pt idx="187">
                  <c:v>2</c:v>
                </c:pt>
                <c:pt idx="188">
                  <c:v>3.5</c:v>
                </c:pt>
                <c:pt idx="189">
                  <c:v>4</c:v>
                </c:pt>
                <c:pt idx="190">
                  <c:v>1.5</c:v>
                </c:pt>
                <c:pt idx="191">
                  <c:v>4.1900000000000004</c:v>
                </c:pt>
                <c:pt idx="192">
                  <c:v>2.56</c:v>
                </c:pt>
                <c:pt idx="193">
                  <c:v>2.02</c:v>
                </c:pt>
                <c:pt idx="194">
                  <c:v>4</c:v>
                </c:pt>
                <c:pt idx="195">
                  <c:v>1.44</c:v>
                </c:pt>
                <c:pt idx="196">
                  <c:v>2</c:v>
                </c:pt>
                <c:pt idx="197">
                  <c:v>5</c:v>
                </c:pt>
                <c:pt idx="198">
                  <c:v>2</c:v>
                </c:pt>
                <c:pt idx="199">
                  <c:v>2</c:v>
                </c:pt>
                <c:pt idx="200">
                  <c:v>4</c:v>
                </c:pt>
                <c:pt idx="201">
                  <c:v>2.0099999999999998</c:v>
                </c:pt>
                <c:pt idx="202">
                  <c:v>2.5</c:v>
                </c:pt>
                <c:pt idx="203">
                  <c:v>4</c:v>
                </c:pt>
                <c:pt idx="204">
                  <c:v>3.23</c:v>
                </c:pt>
                <c:pt idx="205">
                  <c:v>3.41</c:v>
                </c:pt>
                <c:pt idx="206">
                  <c:v>3</c:v>
                </c:pt>
                <c:pt idx="207">
                  <c:v>2.0299999999999998</c:v>
                </c:pt>
                <c:pt idx="208">
                  <c:v>2.23</c:v>
                </c:pt>
                <c:pt idx="209">
                  <c:v>2</c:v>
                </c:pt>
                <c:pt idx="210">
                  <c:v>5.16</c:v>
                </c:pt>
                <c:pt idx="211">
                  <c:v>9</c:v>
                </c:pt>
                <c:pt idx="212">
                  <c:v>2.5</c:v>
                </c:pt>
                <c:pt idx="213">
                  <c:v>6.5</c:v>
                </c:pt>
                <c:pt idx="214">
                  <c:v>1.1000000000000001</c:v>
                </c:pt>
                <c:pt idx="215">
                  <c:v>3</c:v>
                </c:pt>
                <c:pt idx="216">
                  <c:v>1.5</c:v>
                </c:pt>
                <c:pt idx="217">
                  <c:v>1.44</c:v>
                </c:pt>
                <c:pt idx="218">
                  <c:v>3.09</c:v>
                </c:pt>
                <c:pt idx="219">
                  <c:v>2.2000000000000002</c:v>
                </c:pt>
                <c:pt idx="220">
                  <c:v>3.48</c:v>
                </c:pt>
                <c:pt idx="221">
                  <c:v>1.92</c:v>
                </c:pt>
                <c:pt idx="222">
                  <c:v>3</c:v>
                </c:pt>
                <c:pt idx="223">
                  <c:v>1.58</c:v>
                </c:pt>
                <c:pt idx="224">
                  <c:v>2.5</c:v>
                </c:pt>
                <c:pt idx="225">
                  <c:v>2</c:v>
                </c:pt>
                <c:pt idx="226">
                  <c:v>3</c:v>
                </c:pt>
                <c:pt idx="227">
                  <c:v>2.72</c:v>
                </c:pt>
                <c:pt idx="228">
                  <c:v>2.88</c:v>
                </c:pt>
                <c:pt idx="229">
                  <c:v>2</c:v>
                </c:pt>
                <c:pt idx="230">
                  <c:v>3</c:v>
                </c:pt>
                <c:pt idx="231">
                  <c:v>3.39</c:v>
                </c:pt>
                <c:pt idx="232">
                  <c:v>1.47</c:v>
                </c:pt>
                <c:pt idx="233">
                  <c:v>3</c:v>
                </c:pt>
                <c:pt idx="234">
                  <c:v>1.25</c:v>
                </c:pt>
                <c:pt idx="235">
                  <c:v>1</c:v>
                </c:pt>
                <c:pt idx="236">
                  <c:v>1.17</c:v>
                </c:pt>
                <c:pt idx="237">
                  <c:v>4.67</c:v>
                </c:pt>
                <c:pt idx="238">
                  <c:v>5.92</c:v>
                </c:pt>
                <c:pt idx="239">
                  <c:v>2</c:v>
                </c:pt>
                <c:pt idx="240">
                  <c:v>2</c:v>
                </c:pt>
                <c:pt idx="241">
                  <c:v>1.75</c:v>
                </c:pt>
                <c:pt idx="24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FF-496D-A800-DEB61396C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962895"/>
        <c:axId val="1385965295"/>
      </c:scatterChart>
      <c:valAx>
        <c:axId val="138596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65295"/>
        <c:crosses val="autoZero"/>
        <c:crossBetween val="midCat"/>
      </c:valAx>
      <c:valAx>
        <c:axId val="138596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6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Size-Tip Scatter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'Aligned Data'!$G$1</c:f>
              <c:strCache>
                <c:ptCount val="1"/>
                <c:pt idx="0">
                  <c:v>Actual tip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2">
                    <a:lumMod val="75000"/>
                  </a:schemeClr>
                </a:solidFill>
                <a:prstDash val="sys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007655293088364E-3"/>
                  <c:y val="-6.13713910761154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'Aligned Data'!$E$2:$E$244</c:f>
              <c:numCache>
                <c:formatCode>General</c:formatCode>
                <c:ptCount val="243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4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4</c:v>
                </c:pt>
                <c:pt idx="32">
                  <c:v>2</c:v>
                </c:pt>
                <c:pt idx="33">
                  <c:v>4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4</c:v>
                </c:pt>
                <c:pt idx="45">
                  <c:v>2</c:v>
                </c:pt>
                <c:pt idx="46">
                  <c:v>2</c:v>
                </c:pt>
                <c:pt idx="47">
                  <c:v>4</c:v>
                </c:pt>
                <c:pt idx="48">
                  <c:v>3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4</c:v>
                </c:pt>
                <c:pt idx="53">
                  <c:v>2</c:v>
                </c:pt>
                <c:pt idx="54">
                  <c:v>4</c:v>
                </c:pt>
                <c:pt idx="55">
                  <c:v>2</c:v>
                </c:pt>
                <c:pt idx="56">
                  <c:v>4</c:v>
                </c:pt>
                <c:pt idx="57">
                  <c:v>2</c:v>
                </c:pt>
                <c:pt idx="58">
                  <c:v>2</c:v>
                </c:pt>
                <c:pt idx="59">
                  <c:v>4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4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4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2</c:v>
                </c:pt>
                <c:pt idx="85">
                  <c:v>4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4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3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1</c:v>
                </c:pt>
                <c:pt idx="112">
                  <c:v>3</c:v>
                </c:pt>
                <c:pt idx="113">
                  <c:v>2</c:v>
                </c:pt>
                <c:pt idx="114">
                  <c:v>3</c:v>
                </c:pt>
                <c:pt idx="115">
                  <c:v>2</c:v>
                </c:pt>
                <c:pt idx="116">
                  <c:v>4</c:v>
                </c:pt>
                <c:pt idx="117">
                  <c:v>2</c:v>
                </c:pt>
                <c:pt idx="118">
                  <c:v>2</c:v>
                </c:pt>
                <c:pt idx="119">
                  <c:v>4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6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3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6</c:v>
                </c:pt>
                <c:pt idx="142">
                  <c:v>5</c:v>
                </c:pt>
                <c:pt idx="143">
                  <c:v>6</c:v>
                </c:pt>
                <c:pt idx="144">
                  <c:v>2</c:v>
                </c:pt>
                <c:pt idx="145">
                  <c:v>2</c:v>
                </c:pt>
                <c:pt idx="146">
                  <c:v>3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4</c:v>
                </c:pt>
                <c:pt idx="154">
                  <c:v>4</c:v>
                </c:pt>
                <c:pt idx="155">
                  <c:v>5</c:v>
                </c:pt>
                <c:pt idx="156">
                  <c:v>6</c:v>
                </c:pt>
                <c:pt idx="157">
                  <c:v>4</c:v>
                </c:pt>
                <c:pt idx="158">
                  <c:v>2</c:v>
                </c:pt>
                <c:pt idx="159">
                  <c:v>4</c:v>
                </c:pt>
                <c:pt idx="160">
                  <c:v>4</c:v>
                </c:pt>
                <c:pt idx="161">
                  <c:v>2</c:v>
                </c:pt>
                <c:pt idx="162">
                  <c:v>3</c:v>
                </c:pt>
                <c:pt idx="163">
                  <c:v>2</c:v>
                </c:pt>
                <c:pt idx="164">
                  <c:v>2</c:v>
                </c:pt>
                <c:pt idx="165">
                  <c:v>3</c:v>
                </c:pt>
                <c:pt idx="166">
                  <c:v>2</c:v>
                </c:pt>
                <c:pt idx="167">
                  <c:v>4</c:v>
                </c:pt>
                <c:pt idx="168">
                  <c:v>2</c:v>
                </c:pt>
                <c:pt idx="169">
                  <c:v>2</c:v>
                </c:pt>
                <c:pt idx="170">
                  <c:v>3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4</c:v>
                </c:pt>
                <c:pt idx="181">
                  <c:v>2</c:v>
                </c:pt>
                <c:pt idx="182">
                  <c:v>3</c:v>
                </c:pt>
                <c:pt idx="183">
                  <c:v>4</c:v>
                </c:pt>
                <c:pt idx="184">
                  <c:v>2</c:v>
                </c:pt>
                <c:pt idx="185">
                  <c:v>5</c:v>
                </c:pt>
                <c:pt idx="186">
                  <c:v>3</c:v>
                </c:pt>
                <c:pt idx="187">
                  <c:v>5</c:v>
                </c:pt>
                <c:pt idx="188">
                  <c:v>3</c:v>
                </c:pt>
                <c:pt idx="189">
                  <c:v>3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4</c:v>
                </c:pt>
                <c:pt idx="198">
                  <c:v>2</c:v>
                </c:pt>
                <c:pt idx="199">
                  <c:v>2</c:v>
                </c:pt>
                <c:pt idx="200">
                  <c:v>3</c:v>
                </c:pt>
                <c:pt idx="201">
                  <c:v>2</c:v>
                </c:pt>
                <c:pt idx="202">
                  <c:v>2</c:v>
                </c:pt>
                <c:pt idx="203">
                  <c:v>4</c:v>
                </c:pt>
                <c:pt idx="204">
                  <c:v>3</c:v>
                </c:pt>
                <c:pt idx="205">
                  <c:v>3</c:v>
                </c:pt>
                <c:pt idx="206">
                  <c:v>4</c:v>
                </c:pt>
                <c:pt idx="207">
                  <c:v>2</c:v>
                </c:pt>
                <c:pt idx="208">
                  <c:v>2</c:v>
                </c:pt>
                <c:pt idx="209">
                  <c:v>3</c:v>
                </c:pt>
                <c:pt idx="210">
                  <c:v>4</c:v>
                </c:pt>
                <c:pt idx="211">
                  <c:v>4</c:v>
                </c:pt>
                <c:pt idx="212">
                  <c:v>2</c:v>
                </c:pt>
                <c:pt idx="213">
                  <c:v>3</c:v>
                </c:pt>
                <c:pt idx="214">
                  <c:v>2</c:v>
                </c:pt>
                <c:pt idx="215">
                  <c:v>5</c:v>
                </c:pt>
                <c:pt idx="216">
                  <c:v>2</c:v>
                </c:pt>
                <c:pt idx="217">
                  <c:v>2</c:v>
                </c:pt>
                <c:pt idx="218">
                  <c:v>4</c:v>
                </c:pt>
                <c:pt idx="219">
                  <c:v>2</c:v>
                </c:pt>
                <c:pt idx="220">
                  <c:v>2</c:v>
                </c:pt>
                <c:pt idx="221">
                  <c:v>1</c:v>
                </c:pt>
                <c:pt idx="222">
                  <c:v>3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4</c:v>
                </c:pt>
                <c:pt idx="227">
                  <c:v>2</c:v>
                </c:pt>
                <c:pt idx="228">
                  <c:v>2</c:v>
                </c:pt>
                <c:pt idx="229">
                  <c:v>4</c:v>
                </c:pt>
                <c:pt idx="230">
                  <c:v>3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3</c:v>
                </c:pt>
                <c:pt idx="238">
                  <c:v>3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</c:numCache>
            </c:numRef>
          </c:xVal>
          <c:yVal>
            <c:numRef>
              <c:f>'Aligned Data'!$G$2:$G$244</c:f>
              <c:numCache>
                <c:formatCode>General</c:formatCode>
                <c:ptCount val="243"/>
                <c:pt idx="0">
                  <c:v>1.01</c:v>
                </c:pt>
                <c:pt idx="1">
                  <c:v>1.66</c:v>
                </c:pt>
                <c:pt idx="2">
                  <c:v>3.5</c:v>
                </c:pt>
                <c:pt idx="3">
                  <c:v>3.31</c:v>
                </c:pt>
                <c:pt idx="4">
                  <c:v>3.61</c:v>
                </c:pt>
                <c:pt idx="5">
                  <c:v>4.71</c:v>
                </c:pt>
                <c:pt idx="6">
                  <c:v>2</c:v>
                </c:pt>
                <c:pt idx="7">
                  <c:v>3.12</c:v>
                </c:pt>
                <c:pt idx="8">
                  <c:v>1.96</c:v>
                </c:pt>
                <c:pt idx="9">
                  <c:v>3.23</c:v>
                </c:pt>
                <c:pt idx="10">
                  <c:v>1.71</c:v>
                </c:pt>
                <c:pt idx="11">
                  <c:v>5</c:v>
                </c:pt>
                <c:pt idx="12">
                  <c:v>1.57</c:v>
                </c:pt>
                <c:pt idx="13">
                  <c:v>3</c:v>
                </c:pt>
                <c:pt idx="14">
                  <c:v>3.02</c:v>
                </c:pt>
                <c:pt idx="15">
                  <c:v>3.92</c:v>
                </c:pt>
                <c:pt idx="16">
                  <c:v>1.67</c:v>
                </c:pt>
                <c:pt idx="17">
                  <c:v>3.71</c:v>
                </c:pt>
                <c:pt idx="18">
                  <c:v>3.5</c:v>
                </c:pt>
                <c:pt idx="19">
                  <c:v>3.35</c:v>
                </c:pt>
                <c:pt idx="20">
                  <c:v>4.08</c:v>
                </c:pt>
                <c:pt idx="21">
                  <c:v>2.75</c:v>
                </c:pt>
                <c:pt idx="22">
                  <c:v>2.23</c:v>
                </c:pt>
                <c:pt idx="23">
                  <c:v>7.58</c:v>
                </c:pt>
                <c:pt idx="24">
                  <c:v>3.18</c:v>
                </c:pt>
                <c:pt idx="25">
                  <c:v>2.34</c:v>
                </c:pt>
                <c:pt idx="26">
                  <c:v>2</c:v>
                </c:pt>
                <c:pt idx="27">
                  <c:v>2</c:v>
                </c:pt>
                <c:pt idx="28">
                  <c:v>4.3</c:v>
                </c:pt>
                <c:pt idx="29">
                  <c:v>3</c:v>
                </c:pt>
                <c:pt idx="30">
                  <c:v>1.45</c:v>
                </c:pt>
                <c:pt idx="31">
                  <c:v>2.5</c:v>
                </c:pt>
                <c:pt idx="32">
                  <c:v>3</c:v>
                </c:pt>
                <c:pt idx="33">
                  <c:v>2.4500000000000002</c:v>
                </c:pt>
                <c:pt idx="34">
                  <c:v>3.27</c:v>
                </c:pt>
                <c:pt idx="35">
                  <c:v>3.6</c:v>
                </c:pt>
                <c:pt idx="36">
                  <c:v>2</c:v>
                </c:pt>
                <c:pt idx="37">
                  <c:v>3.07</c:v>
                </c:pt>
                <c:pt idx="38">
                  <c:v>2.31</c:v>
                </c:pt>
                <c:pt idx="39">
                  <c:v>5</c:v>
                </c:pt>
                <c:pt idx="40">
                  <c:v>2.2400000000000002</c:v>
                </c:pt>
                <c:pt idx="41">
                  <c:v>2.54</c:v>
                </c:pt>
                <c:pt idx="42">
                  <c:v>3.06</c:v>
                </c:pt>
                <c:pt idx="43">
                  <c:v>1.32</c:v>
                </c:pt>
                <c:pt idx="44">
                  <c:v>5.6</c:v>
                </c:pt>
                <c:pt idx="45">
                  <c:v>3</c:v>
                </c:pt>
                <c:pt idx="46">
                  <c:v>5</c:v>
                </c:pt>
                <c:pt idx="47">
                  <c:v>6</c:v>
                </c:pt>
                <c:pt idx="48">
                  <c:v>2.0499999999999998</c:v>
                </c:pt>
                <c:pt idx="49">
                  <c:v>3</c:v>
                </c:pt>
                <c:pt idx="50">
                  <c:v>2.5</c:v>
                </c:pt>
                <c:pt idx="51">
                  <c:v>2.6</c:v>
                </c:pt>
                <c:pt idx="52">
                  <c:v>5.2</c:v>
                </c:pt>
                <c:pt idx="53">
                  <c:v>1.56</c:v>
                </c:pt>
                <c:pt idx="54">
                  <c:v>4.34</c:v>
                </c:pt>
                <c:pt idx="55">
                  <c:v>3.51</c:v>
                </c:pt>
                <c:pt idx="56">
                  <c:v>3</c:v>
                </c:pt>
                <c:pt idx="57">
                  <c:v>1.5</c:v>
                </c:pt>
                <c:pt idx="58">
                  <c:v>1.76</c:v>
                </c:pt>
                <c:pt idx="59">
                  <c:v>6.73</c:v>
                </c:pt>
                <c:pt idx="60">
                  <c:v>3.21</c:v>
                </c:pt>
                <c:pt idx="61">
                  <c:v>2</c:v>
                </c:pt>
                <c:pt idx="62">
                  <c:v>1.98</c:v>
                </c:pt>
                <c:pt idx="63">
                  <c:v>3.76</c:v>
                </c:pt>
                <c:pt idx="64">
                  <c:v>2.64</c:v>
                </c:pt>
                <c:pt idx="65">
                  <c:v>3.15</c:v>
                </c:pt>
                <c:pt idx="66">
                  <c:v>2.4700000000000002</c:v>
                </c:pt>
                <c:pt idx="67">
                  <c:v>1</c:v>
                </c:pt>
                <c:pt idx="68">
                  <c:v>2.0099999999999998</c:v>
                </c:pt>
                <c:pt idx="69">
                  <c:v>2.09</c:v>
                </c:pt>
                <c:pt idx="70">
                  <c:v>1.97</c:v>
                </c:pt>
                <c:pt idx="71">
                  <c:v>3</c:v>
                </c:pt>
                <c:pt idx="72">
                  <c:v>3.14</c:v>
                </c:pt>
                <c:pt idx="73">
                  <c:v>5</c:v>
                </c:pt>
                <c:pt idx="74">
                  <c:v>2.2000000000000002</c:v>
                </c:pt>
                <c:pt idx="75">
                  <c:v>1.25</c:v>
                </c:pt>
                <c:pt idx="76">
                  <c:v>3.08</c:v>
                </c:pt>
                <c:pt idx="77">
                  <c:v>4</c:v>
                </c:pt>
                <c:pt idx="78">
                  <c:v>3</c:v>
                </c:pt>
                <c:pt idx="79">
                  <c:v>2.71</c:v>
                </c:pt>
                <c:pt idx="80">
                  <c:v>3</c:v>
                </c:pt>
                <c:pt idx="81">
                  <c:v>3.4</c:v>
                </c:pt>
                <c:pt idx="82">
                  <c:v>1.83</c:v>
                </c:pt>
                <c:pt idx="83">
                  <c:v>5</c:v>
                </c:pt>
                <c:pt idx="84">
                  <c:v>2.0299999999999998</c:v>
                </c:pt>
                <c:pt idx="85">
                  <c:v>5.17</c:v>
                </c:pt>
                <c:pt idx="86">
                  <c:v>2</c:v>
                </c:pt>
                <c:pt idx="87">
                  <c:v>4</c:v>
                </c:pt>
                <c:pt idx="88">
                  <c:v>5.85</c:v>
                </c:pt>
                <c:pt idx="89">
                  <c:v>3</c:v>
                </c:pt>
                <c:pt idx="90">
                  <c:v>3</c:v>
                </c:pt>
                <c:pt idx="91">
                  <c:v>3.5</c:v>
                </c:pt>
                <c:pt idx="92">
                  <c:v>1</c:v>
                </c:pt>
                <c:pt idx="93">
                  <c:v>4.3</c:v>
                </c:pt>
                <c:pt idx="94">
                  <c:v>3.25</c:v>
                </c:pt>
                <c:pt idx="95">
                  <c:v>4.7300000000000004</c:v>
                </c:pt>
                <c:pt idx="96">
                  <c:v>4</c:v>
                </c:pt>
                <c:pt idx="97">
                  <c:v>1.5</c:v>
                </c:pt>
                <c:pt idx="98">
                  <c:v>3</c:v>
                </c:pt>
                <c:pt idx="99">
                  <c:v>1.5</c:v>
                </c:pt>
                <c:pt idx="100">
                  <c:v>2.5</c:v>
                </c:pt>
                <c:pt idx="101">
                  <c:v>3</c:v>
                </c:pt>
                <c:pt idx="102">
                  <c:v>2.5</c:v>
                </c:pt>
                <c:pt idx="103">
                  <c:v>3.48</c:v>
                </c:pt>
                <c:pt idx="104">
                  <c:v>4.08</c:v>
                </c:pt>
                <c:pt idx="105">
                  <c:v>1.64</c:v>
                </c:pt>
                <c:pt idx="106">
                  <c:v>4.0599999999999996</c:v>
                </c:pt>
                <c:pt idx="107">
                  <c:v>4.29</c:v>
                </c:pt>
                <c:pt idx="108">
                  <c:v>3.76</c:v>
                </c:pt>
                <c:pt idx="109">
                  <c:v>4</c:v>
                </c:pt>
                <c:pt idx="110">
                  <c:v>3</c:v>
                </c:pt>
                <c:pt idx="111">
                  <c:v>1</c:v>
                </c:pt>
                <c:pt idx="112">
                  <c:v>4</c:v>
                </c:pt>
                <c:pt idx="113">
                  <c:v>2.5499999999999998</c:v>
                </c:pt>
                <c:pt idx="114">
                  <c:v>4</c:v>
                </c:pt>
                <c:pt idx="115">
                  <c:v>3.5</c:v>
                </c:pt>
                <c:pt idx="116">
                  <c:v>5.07</c:v>
                </c:pt>
                <c:pt idx="117">
                  <c:v>1.5</c:v>
                </c:pt>
                <c:pt idx="118">
                  <c:v>1.8</c:v>
                </c:pt>
                <c:pt idx="119">
                  <c:v>2.92</c:v>
                </c:pt>
                <c:pt idx="120">
                  <c:v>2.31</c:v>
                </c:pt>
                <c:pt idx="121">
                  <c:v>1.68</c:v>
                </c:pt>
                <c:pt idx="122">
                  <c:v>2.5</c:v>
                </c:pt>
                <c:pt idx="123">
                  <c:v>2</c:v>
                </c:pt>
                <c:pt idx="124">
                  <c:v>2.52</c:v>
                </c:pt>
                <c:pt idx="125">
                  <c:v>4.2</c:v>
                </c:pt>
                <c:pt idx="126">
                  <c:v>1.48</c:v>
                </c:pt>
                <c:pt idx="127">
                  <c:v>2</c:v>
                </c:pt>
                <c:pt idx="128">
                  <c:v>2</c:v>
                </c:pt>
                <c:pt idx="129">
                  <c:v>2.1800000000000002</c:v>
                </c:pt>
                <c:pt idx="130">
                  <c:v>1.5</c:v>
                </c:pt>
                <c:pt idx="131">
                  <c:v>2.83</c:v>
                </c:pt>
                <c:pt idx="132">
                  <c:v>1.5</c:v>
                </c:pt>
                <c:pt idx="133">
                  <c:v>2</c:v>
                </c:pt>
                <c:pt idx="134">
                  <c:v>3.25</c:v>
                </c:pt>
                <c:pt idx="135">
                  <c:v>1.25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2.75</c:v>
                </c:pt>
                <c:pt idx="140">
                  <c:v>3.5</c:v>
                </c:pt>
                <c:pt idx="141">
                  <c:v>6.7</c:v>
                </c:pt>
                <c:pt idx="142">
                  <c:v>5</c:v>
                </c:pt>
                <c:pt idx="143">
                  <c:v>5</c:v>
                </c:pt>
                <c:pt idx="144">
                  <c:v>2.2999999999999998</c:v>
                </c:pt>
                <c:pt idx="145">
                  <c:v>1.5</c:v>
                </c:pt>
                <c:pt idx="146">
                  <c:v>1.36</c:v>
                </c:pt>
                <c:pt idx="147">
                  <c:v>1.63</c:v>
                </c:pt>
                <c:pt idx="148">
                  <c:v>1.73</c:v>
                </c:pt>
                <c:pt idx="149">
                  <c:v>2</c:v>
                </c:pt>
                <c:pt idx="150">
                  <c:v>2.5</c:v>
                </c:pt>
                <c:pt idx="151">
                  <c:v>2</c:v>
                </c:pt>
                <c:pt idx="152">
                  <c:v>2.74</c:v>
                </c:pt>
                <c:pt idx="153">
                  <c:v>2</c:v>
                </c:pt>
                <c:pt idx="154">
                  <c:v>2</c:v>
                </c:pt>
                <c:pt idx="155">
                  <c:v>5.14</c:v>
                </c:pt>
                <c:pt idx="156">
                  <c:v>5</c:v>
                </c:pt>
                <c:pt idx="157">
                  <c:v>3.75</c:v>
                </c:pt>
                <c:pt idx="158">
                  <c:v>2.61</c:v>
                </c:pt>
                <c:pt idx="159">
                  <c:v>2</c:v>
                </c:pt>
                <c:pt idx="160">
                  <c:v>3.5</c:v>
                </c:pt>
                <c:pt idx="161">
                  <c:v>2.5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3.48</c:v>
                </c:pt>
                <c:pt idx="166">
                  <c:v>2.2400000000000002</c:v>
                </c:pt>
                <c:pt idx="167">
                  <c:v>4.5</c:v>
                </c:pt>
                <c:pt idx="168">
                  <c:v>1.61</c:v>
                </c:pt>
                <c:pt idx="169">
                  <c:v>2</c:v>
                </c:pt>
                <c:pt idx="170">
                  <c:v>10</c:v>
                </c:pt>
                <c:pt idx="171">
                  <c:v>3.16</c:v>
                </c:pt>
                <c:pt idx="172">
                  <c:v>5.15</c:v>
                </c:pt>
                <c:pt idx="173">
                  <c:v>3.18</c:v>
                </c:pt>
                <c:pt idx="174">
                  <c:v>4</c:v>
                </c:pt>
                <c:pt idx="175">
                  <c:v>3.11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3.55</c:v>
                </c:pt>
                <c:pt idx="180">
                  <c:v>3.68</c:v>
                </c:pt>
                <c:pt idx="181">
                  <c:v>5.65</c:v>
                </c:pt>
                <c:pt idx="182">
                  <c:v>3.5</c:v>
                </c:pt>
                <c:pt idx="183">
                  <c:v>6.5</c:v>
                </c:pt>
                <c:pt idx="184">
                  <c:v>3</c:v>
                </c:pt>
                <c:pt idx="185">
                  <c:v>5</c:v>
                </c:pt>
                <c:pt idx="186">
                  <c:v>3.5</c:v>
                </c:pt>
                <c:pt idx="187">
                  <c:v>2</c:v>
                </c:pt>
                <c:pt idx="188">
                  <c:v>3.5</c:v>
                </c:pt>
                <c:pt idx="189">
                  <c:v>4</c:v>
                </c:pt>
                <c:pt idx="190">
                  <c:v>1.5</c:v>
                </c:pt>
                <c:pt idx="191">
                  <c:v>4.1900000000000004</c:v>
                </c:pt>
                <c:pt idx="192">
                  <c:v>2.56</c:v>
                </c:pt>
                <c:pt idx="193">
                  <c:v>2.02</c:v>
                </c:pt>
                <c:pt idx="194">
                  <c:v>4</c:v>
                </c:pt>
                <c:pt idx="195">
                  <c:v>1.44</c:v>
                </c:pt>
                <c:pt idx="196">
                  <c:v>2</c:v>
                </c:pt>
                <c:pt idx="197">
                  <c:v>5</c:v>
                </c:pt>
                <c:pt idx="198">
                  <c:v>2</c:v>
                </c:pt>
                <c:pt idx="199">
                  <c:v>2</c:v>
                </c:pt>
                <c:pt idx="200">
                  <c:v>4</c:v>
                </c:pt>
                <c:pt idx="201">
                  <c:v>2.0099999999999998</c:v>
                </c:pt>
                <c:pt idx="202">
                  <c:v>2.5</c:v>
                </c:pt>
                <c:pt idx="203">
                  <c:v>4</c:v>
                </c:pt>
                <c:pt idx="204">
                  <c:v>3.23</c:v>
                </c:pt>
                <c:pt idx="205">
                  <c:v>3.41</c:v>
                </c:pt>
                <c:pt idx="206">
                  <c:v>3</c:v>
                </c:pt>
                <c:pt idx="207">
                  <c:v>2.0299999999999998</c:v>
                </c:pt>
                <c:pt idx="208">
                  <c:v>2.23</c:v>
                </c:pt>
                <c:pt idx="209">
                  <c:v>2</c:v>
                </c:pt>
                <c:pt idx="210">
                  <c:v>5.16</c:v>
                </c:pt>
                <c:pt idx="211">
                  <c:v>9</c:v>
                </c:pt>
                <c:pt idx="212">
                  <c:v>2.5</c:v>
                </c:pt>
                <c:pt idx="213">
                  <c:v>6.5</c:v>
                </c:pt>
                <c:pt idx="214">
                  <c:v>1.1000000000000001</c:v>
                </c:pt>
                <c:pt idx="215">
                  <c:v>3</c:v>
                </c:pt>
                <c:pt idx="216">
                  <c:v>1.5</c:v>
                </c:pt>
                <c:pt idx="217">
                  <c:v>1.44</c:v>
                </c:pt>
                <c:pt idx="218">
                  <c:v>3.09</c:v>
                </c:pt>
                <c:pt idx="219">
                  <c:v>2.2000000000000002</c:v>
                </c:pt>
                <c:pt idx="220">
                  <c:v>3.48</c:v>
                </c:pt>
                <c:pt idx="221">
                  <c:v>1.92</c:v>
                </c:pt>
                <c:pt idx="222">
                  <c:v>3</c:v>
                </c:pt>
                <c:pt idx="223">
                  <c:v>1.58</c:v>
                </c:pt>
                <c:pt idx="224">
                  <c:v>2.5</c:v>
                </c:pt>
                <c:pt idx="225">
                  <c:v>2</c:v>
                </c:pt>
                <c:pt idx="226">
                  <c:v>3</c:v>
                </c:pt>
                <c:pt idx="227">
                  <c:v>2.72</c:v>
                </c:pt>
                <c:pt idx="228">
                  <c:v>2.88</c:v>
                </c:pt>
                <c:pt idx="229">
                  <c:v>2</c:v>
                </c:pt>
                <c:pt idx="230">
                  <c:v>3</c:v>
                </c:pt>
                <c:pt idx="231">
                  <c:v>3.39</c:v>
                </c:pt>
                <c:pt idx="232">
                  <c:v>1.47</c:v>
                </c:pt>
                <c:pt idx="233">
                  <c:v>3</c:v>
                </c:pt>
                <c:pt idx="234">
                  <c:v>1.25</c:v>
                </c:pt>
                <c:pt idx="235">
                  <c:v>1</c:v>
                </c:pt>
                <c:pt idx="236">
                  <c:v>1.17</c:v>
                </c:pt>
                <c:pt idx="237">
                  <c:v>4.67</c:v>
                </c:pt>
                <c:pt idx="238">
                  <c:v>5.92</c:v>
                </c:pt>
                <c:pt idx="239">
                  <c:v>2</c:v>
                </c:pt>
                <c:pt idx="240">
                  <c:v>2</c:v>
                </c:pt>
                <c:pt idx="241">
                  <c:v>1.75</c:v>
                </c:pt>
                <c:pt idx="24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35-42E0-8877-13E5EA6FB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984015"/>
        <c:axId val="1385984495"/>
      </c:scatterChart>
      <c:valAx>
        <c:axId val="138598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84495"/>
        <c:crosses val="autoZero"/>
        <c:crossBetween val="midCat"/>
      </c:valAx>
      <c:valAx>
        <c:axId val="138598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84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_Bill - Tip Scatter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'Aligned Data'!$G$1</c:f>
              <c:strCache>
                <c:ptCount val="1"/>
                <c:pt idx="0">
                  <c:v>Actual tip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1929352580927384E-2"/>
                  <c:y val="-2.15263196267133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'Aligned Data'!$F$2:$F$244</c:f>
              <c:numCache>
                <c:formatCode>General</c:formatCode>
                <c:ptCount val="243"/>
                <c:pt idx="0">
                  <c:v>16.989999999999998</c:v>
                </c:pt>
                <c:pt idx="1">
                  <c:v>10.34</c:v>
                </c:pt>
                <c:pt idx="2">
                  <c:v>21.01</c:v>
                </c:pt>
                <c:pt idx="3">
                  <c:v>23.68</c:v>
                </c:pt>
                <c:pt idx="4">
                  <c:v>24.59</c:v>
                </c:pt>
                <c:pt idx="5">
                  <c:v>25.29</c:v>
                </c:pt>
                <c:pt idx="6">
                  <c:v>8.77</c:v>
                </c:pt>
                <c:pt idx="7">
                  <c:v>26.88</c:v>
                </c:pt>
                <c:pt idx="8">
                  <c:v>15.04</c:v>
                </c:pt>
                <c:pt idx="9">
                  <c:v>14.78</c:v>
                </c:pt>
                <c:pt idx="10">
                  <c:v>10.27</c:v>
                </c:pt>
                <c:pt idx="11">
                  <c:v>35.26</c:v>
                </c:pt>
                <c:pt idx="12">
                  <c:v>15.42</c:v>
                </c:pt>
                <c:pt idx="13">
                  <c:v>18.43</c:v>
                </c:pt>
                <c:pt idx="14">
                  <c:v>14.83</c:v>
                </c:pt>
                <c:pt idx="15">
                  <c:v>21.58</c:v>
                </c:pt>
                <c:pt idx="16">
                  <c:v>10.33</c:v>
                </c:pt>
                <c:pt idx="17">
                  <c:v>16.29</c:v>
                </c:pt>
                <c:pt idx="18">
                  <c:v>16.97</c:v>
                </c:pt>
                <c:pt idx="19">
                  <c:v>20.65</c:v>
                </c:pt>
                <c:pt idx="20">
                  <c:v>17.920000000000002</c:v>
                </c:pt>
                <c:pt idx="21">
                  <c:v>20.29</c:v>
                </c:pt>
                <c:pt idx="22">
                  <c:v>15.77</c:v>
                </c:pt>
                <c:pt idx="23">
                  <c:v>39.42</c:v>
                </c:pt>
                <c:pt idx="24">
                  <c:v>19.82</c:v>
                </c:pt>
                <c:pt idx="25">
                  <c:v>17.809999999999999</c:v>
                </c:pt>
                <c:pt idx="26">
                  <c:v>13.37</c:v>
                </c:pt>
                <c:pt idx="27">
                  <c:v>12.69</c:v>
                </c:pt>
                <c:pt idx="28">
                  <c:v>21.7</c:v>
                </c:pt>
                <c:pt idx="29">
                  <c:v>19.649999999999999</c:v>
                </c:pt>
                <c:pt idx="30">
                  <c:v>9.5500000000000007</c:v>
                </c:pt>
                <c:pt idx="31">
                  <c:v>18.350000000000001</c:v>
                </c:pt>
                <c:pt idx="32">
                  <c:v>15.06</c:v>
                </c:pt>
                <c:pt idx="33">
                  <c:v>20.69</c:v>
                </c:pt>
                <c:pt idx="34">
                  <c:v>17.78</c:v>
                </c:pt>
                <c:pt idx="35">
                  <c:v>24.06</c:v>
                </c:pt>
                <c:pt idx="36">
                  <c:v>16.309999999999999</c:v>
                </c:pt>
                <c:pt idx="37">
                  <c:v>16.93</c:v>
                </c:pt>
                <c:pt idx="38">
                  <c:v>18.690000000000001</c:v>
                </c:pt>
                <c:pt idx="39">
                  <c:v>31.27</c:v>
                </c:pt>
                <c:pt idx="40">
                  <c:v>16.04</c:v>
                </c:pt>
                <c:pt idx="41">
                  <c:v>17.46</c:v>
                </c:pt>
                <c:pt idx="42">
                  <c:v>13.94</c:v>
                </c:pt>
                <c:pt idx="43">
                  <c:v>9.68</c:v>
                </c:pt>
                <c:pt idx="44">
                  <c:v>30.4</c:v>
                </c:pt>
                <c:pt idx="45">
                  <c:v>18.29</c:v>
                </c:pt>
                <c:pt idx="46">
                  <c:v>22.23</c:v>
                </c:pt>
                <c:pt idx="47">
                  <c:v>32.4</c:v>
                </c:pt>
                <c:pt idx="48">
                  <c:v>28.55</c:v>
                </c:pt>
                <c:pt idx="49">
                  <c:v>18.04</c:v>
                </c:pt>
                <c:pt idx="50">
                  <c:v>12.54</c:v>
                </c:pt>
                <c:pt idx="51">
                  <c:v>10.29</c:v>
                </c:pt>
                <c:pt idx="52">
                  <c:v>34.81</c:v>
                </c:pt>
                <c:pt idx="53">
                  <c:v>9.94</c:v>
                </c:pt>
                <c:pt idx="54">
                  <c:v>25.56</c:v>
                </c:pt>
                <c:pt idx="55">
                  <c:v>19.489999999999998</c:v>
                </c:pt>
                <c:pt idx="56">
                  <c:v>38.01</c:v>
                </c:pt>
                <c:pt idx="57">
                  <c:v>26.41</c:v>
                </c:pt>
                <c:pt idx="58">
                  <c:v>11.24</c:v>
                </c:pt>
                <c:pt idx="59">
                  <c:v>48.27</c:v>
                </c:pt>
                <c:pt idx="60">
                  <c:v>20.29</c:v>
                </c:pt>
                <c:pt idx="61">
                  <c:v>13.81</c:v>
                </c:pt>
                <c:pt idx="62">
                  <c:v>11.02</c:v>
                </c:pt>
                <c:pt idx="63">
                  <c:v>18.29</c:v>
                </c:pt>
                <c:pt idx="64">
                  <c:v>17.59</c:v>
                </c:pt>
                <c:pt idx="65">
                  <c:v>20.079999999999998</c:v>
                </c:pt>
                <c:pt idx="66">
                  <c:v>16.45</c:v>
                </c:pt>
                <c:pt idx="67">
                  <c:v>3.07</c:v>
                </c:pt>
                <c:pt idx="68">
                  <c:v>20.23</c:v>
                </c:pt>
                <c:pt idx="69">
                  <c:v>15.01</c:v>
                </c:pt>
                <c:pt idx="70">
                  <c:v>12.02</c:v>
                </c:pt>
                <c:pt idx="71">
                  <c:v>17.07</c:v>
                </c:pt>
                <c:pt idx="72">
                  <c:v>26.86</c:v>
                </c:pt>
                <c:pt idx="73">
                  <c:v>25.28</c:v>
                </c:pt>
                <c:pt idx="74">
                  <c:v>14.73</c:v>
                </c:pt>
                <c:pt idx="75">
                  <c:v>10.51</c:v>
                </c:pt>
                <c:pt idx="76">
                  <c:v>17.920000000000002</c:v>
                </c:pt>
                <c:pt idx="77">
                  <c:v>27.2</c:v>
                </c:pt>
                <c:pt idx="78">
                  <c:v>22.76</c:v>
                </c:pt>
                <c:pt idx="79">
                  <c:v>17.29</c:v>
                </c:pt>
                <c:pt idx="80">
                  <c:v>19.440000000000001</c:v>
                </c:pt>
                <c:pt idx="81">
                  <c:v>16.66</c:v>
                </c:pt>
                <c:pt idx="82">
                  <c:v>10.07</c:v>
                </c:pt>
                <c:pt idx="83">
                  <c:v>32.68</c:v>
                </c:pt>
                <c:pt idx="84">
                  <c:v>15.98</c:v>
                </c:pt>
                <c:pt idx="85">
                  <c:v>34.83</c:v>
                </c:pt>
                <c:pt idx="86">
                  <c:v>13.03</c:v>
                </c:pt>
                <c:pt idx="87">
                  <c:v>18.28</c:v>
                </c:pt>
                <c:pt idx="88">
                  <c:v>24.71</c:v>
                </c:pt>
                <c:pt idx="89">
                  <c:v>21.16</c:v>
                </c:pt>
                <c:pt idx="90">
                  <c:v>28.97</c:v>
                </c:pt>
                <c:pt idx="91">
                  <c:v>22.49</c:v>
                </c:pt>
                <c:pt idx="92">
                  <c:v>5.75</c:v>
                </c:pt>
                <c:pt idx="93">
                  <c:v>16.32</c:v>
                </c:pt>
                <c:pt idx="94">
                  <c:v>22.75</c:v>
                </c:pt>
                <c:pt idx="95">
                  <c:v>40.17</c:v>
                </c:pt>
                <c:pt idx="96">
                  <c:v>27.28</c:v>
                </c:pt>
                <c:pt idx="97">
                  <c:v>12.03</c:v>
                </c:pt>
                <c:pt idx="98">
                  <c:v>21.01</c:v>
                </c:pt>
                <c:pt idx="99">
                  <c:v>12.46</c:v>
                </c:pt>
                <c:pt idx="100">
                  <c:v>11.35</c:v>
                </c:pt>
                <c:pt idx="101">
                  <c:v>15.38</c:v>
                </c:pt>
                <c:pt idx="102">
                  <c:v>44.3</c:v>
                </c:pt>
                <c:pt idx="103">
                  <c:v>22.42</c:v>
                </c:pt>
                <c:pt idx="104">
                  <c:v>20.92</c:v>
                </c:pt>
                <c:pt idx="105">
                  <c:v>15.36</c:v>
                </c:pt>
                <c:pt idx="106">
                  <c:v>20.49</c:v>
                </c:pt>
                <c:pt idx="107">
                  <c:v>25.21</c:v>
                </c:pt>
                <c:pt idx="108">
                  <c:v>18.239999999999998</c:v>
                </c:pt>
                <c:pt idx="109">
                  <c:v>14.31</c:v>
                </c:pt>
                <c:pt idx="110">
                  <c:v>14</c:v>
                </c:pt>
                <c:pt idx="111">
                  <c:v>7.25</c:v>
                </c:pt>
                <c:pt idx="112">
                  <c:v>38.07</c:v>
                </c:pt>
                <c:pt idx="113">
                  <c:v>23.95</c:v>
                </c:pt>
                <c:pt idx="114">
                  <c:v>25.71</c:v>
                </c:pt>
                <c:pt idx="115">
                  <c:v>17.309999999999999</c:v>
                </c:pt>
                <c:pt idx="116">
                  <c:v>29.93</c:v>
                </c:pt>
                <c:pt idx="117">
                  <c:v>10.65</c:v>
                </c:pt>
                <c:pt idx="118">
                  <c:v>12.43</c:v>
                </c:pt>
                <c:pt idx="119">
                  <c:v>24.08</c:v>
                </c:pt>
                <c:pt idx="120">
                  <c:v>11.69</c:v>
                </c:pt>
                <c:pt idx="121">
                  <c:v>13.42</c:v>
                </c:pt>
                <c:pt idx="122">
                  <c:v>14.26</c:v>
                </c:pt>
                <c:pt idx="123">
                  <c:v>15.95</c:v>
                </c:pt>
                <c:pt idx="124">
                  <c:v>12.48</c:v>
                </c:pt>
                <c:pt idx="125">
                  <c:v>29.8</c:v>
                </c:pt>
                <c:pt idx="126">
                  <c:v>8.52</c:v>
                </c:pt>
                <c:pt idx="127">
                  <c:v>14.52</c:v>
                </c:pt>
                <c:pt idx="128">
                  <c:v>11.38</c:v>
                </c:pt>
                <c:pt idx="129">
                  <c:v>22.82</c:v>
                </c:pt>
                <c:pt idx="130">
                  <c:v>19.079999999999998</c:v>
                </c:pt>
                <c:pt idx="131">
                  <c:v>20.27</c:v>
                </c:pt>
                <c:pt idx="132">
                  <c:v>11.17</c:v>
                </c:pt>
                <c:pt idx="133">
                  <c:v>12.26</c:v>
                </c:pt>
                <c:pt idx="134">
                  <c:v>18.260000000000002</c:v>
                </c:pt>
                <c:pt idx="135">
                  <c:v>8.51</c:v>
                </c:pt>
                <c:pt idx="136">
                  <c:v>10.33</c:v>
                </c:pt>
                <c:pt idx="137">
                  <c:v>14.15</c:v>
                </c:pt>
                <c:pt idx="138">
                  <c:v>16</c:v>
                </c:pt>
                <c:pt idx="139">
                  <c:v>13.16</c:v>
                </c:pt>
                <c:pt idx="140">
                  <c:v>17.47</c:v>
                </c:pt>
                <c:pt idx="141">
                  <c:v>34.299999999999997</c:v>
                </c:pt>
                <c:pt idx="142">
                  <c:v>41.19</c:v>
                </c:pt>
                <c:pt idx="143">
                  <c:v>27.05</c:v>
                </c:pt>
                <c:pt idx="144">
                  <c:v>16.43</c:v>
                </c:pt>
                <c:pt idx="145">
                  <c:v>8.35</c:v>
                </c:pt>
                <c:pt idx="146">
                  <c:v>18.64</c:v>
                </c:pt>
                <c:pt idx="147">
                  <c:v>11.87</c:v>
                </c:pt>
                <c:pt idx="148">
                  <c:v>9.7799999999999994</c:v>
                </c:pt>
                <c:pt idx="149">
                  <c:v>7.51</c:v>
                </c:pt>
                <c:pt idx="150">
                  <c:v>14.07</c:v>
                </c:pt>
                <c:pt idx="151">
                  <c:v>13.13</c:v>
                </c:pt>
                <c:pt idx="152">
                  <c:v>17.260000000000002</c:v>
                </c:pt>
                <c:pt idx="153">
                  <c:v>24.55</c:v>
                </c:pt>
                <c:pt idx="154">
                  <c:v>19.77</c:v>
                </c:pt>
                <c:pt idx="155">
                  <c:v>29.85</c:v>
                </c:pt>
                <c:pt idx="156">
                  <c:v>48.17</c:v>
                </c:pt>
                <c:pt idx="157">
                  <c:v>25</c:v>
                </c:pt>
                <c:pt idx="158">
                  <c:v>13.39</c:v>
                </c:pt>
                <c:pt idx="159">
                  <c:v>16.489999999999998</c:v>
                </c:pt>
                <c:pt idx="160">
                  <c:v>21.5</c:v>
                </c:pt>
                <c:pt idx="161">
                  <c:v>12.66</c:v>
                </c:pt>
                <c:pt idx="162">
                  <c:v>16.21</c:v>
                </c:pt>
                <c:pt idx="163">
                  <c:v>13.81</c:v>
                </c:pt>
                <c:pt idx="164">
                  <c:v>17.510000000000002</c:v>
                </c:pt>
                <c:pt idx="165">
                  <c:v>24.52</c:v>
                </c:pt>
                <c:pt idx="166">
                  <c:v>20.76</c:v>
                </c:pt>
                <c:pt idx="167">
                  <c:v>31.71</c:v>
                </c:pt>
                <c:pt idx="168">
                  <c:v>10.59</c:v>
                </c:pt>
                <c:pt idx="169">
                  <c:v>10.63</c:v>
                </c:pt>
                <c:pt idx="170">
                  <c:v>50.81</c:v>
                </c:pt>
                <c:pt idx="171">
                  <c:v>15.81</c:v>
                </c:pt>
                <c:pt idx="172">
                  <c:v>7.25</c:v>
                </c:pt>
                <c:pt idx="173">
                  <c:v>31.85</c:v>
                </c:pt>
                <c:pt idx="174">
                  <c:v>16.82</c:v>
                </c:pt>
                <c:pt idx="175">
                  <c:v>32.9</c:v>
                </c:pt>
                <c:pt idx="176">
                  <c:v>17.89</c:v>
                </c:pt>
                <c:pt idx="177">
                  <c:v>14.48</c:v>
                </c:pt>
                <c:pt idx="178">
                  <c:v>9.6</c:v>
                </c:pt>
                <c:pt idx="179">
                  <c:v>34.630000000000003</c:v>
                </c:pt>
                <c:pt idx="180">
                  <c:v>34.65</c:v>
                </c:pt>
                <c:pt idx="181">
                  <c:v>23.33</c:v>
                </c:pt>
                <c:pt idx="182">
                  <c:v>45.35</c:v>
                </c:pt>
                <c:pt idx="183">
                  <c:v>23.17</c:v>
                </c:pt>
                <c:pt idx="184">
                  <c:v>40.549999999999997</c:v>
                </c:pt>
                <c:pt idx="185">
                  <c:v>20.69</c:v>
                </c:pt>
                <c:pt idx="186">
                  <c:v>20.9</c:v>
                </c:pt>
                <c:pt idx="187">
                  <c:v>30.46</c:v>
                </c:pt>
                <c:pt idx="188">
                  <c:v>18.149999999999999</c:v>
                </c:pt>
                <c:pt idx="189">
                  <c:v>23.1</c:v>
                </c:pt>
                <c:pt idx="190">
                  <c:v>15.69</c:v>
                </c:pt>
                <c:pt idx="191">
                  <c:v>19.809999999999999</c:v>
                </c:pt>
                <c:pt idx="192">
                  <c:v>28.44</c:v>
                </c:pt>
                <c:pt idx="193">
                  <c:v>15.48</c:v>
                </c:pt>
                <c:pt idx="194">
                  <c:v>16.579999999999998</c:v>
                </c:pt>
                <c:pt idx="195">
                  <c:v>7.56</c:v>
                </c:pt>
                <c:pt idx="196">
                  <c:v>10.34</c:v>
                </c:pt>
                <c:pt idx="197">
                  <c:v>43.11</c:v>
                </c:pt>
                <c:pt idx="198">
                  <c:v>13</c:v>
                </c:pt>
                <c:pt idx="199">
                  <c:v>13.51</c:v>
                </c:pt>
                <c:pt idx="200">
                  <c:v>18.71</c:v>
                </c:pt>
                <c:pt idx="201">
                  <c:v>12.74</c:v>
                </c:pt>
                <c:pt idx="202">
                  <c:v>16.399999999999999</c:v>
                </c:pt>
                <c:pt idx="203">
                  <c:v>20.53</c:v>
                </c:pt>
                <c:pt idx="204">
                  <c:v>16.47</c:v>
                </c:pt>
                <c:pt idx="205">
                  <c:v>26.59</c:v>
                </c:pt>
                <c:pt idx="206">
                  <c:v>38.729999999999997</c:v>
                </c:pt>
                <c:pt idx="207">
                  <c:v>24.27</c:v>
                </c:pt>
                <c:pt idx="208">
                  <c:v>12.76</c:v>
                </c:pt>
                <c:pt idx="209">
                  <c:v>30.06</c:v>
                </c:pt>
                <c:pt idx="210">
                  <c:v>25.89</c:v>
                </c:pt>
                <c:pt idx="211">
                  <c:v>48.33</c:v>
                </c:pt>
                <c:pt idx="212">
                  <c:v>13.27</c:v>
                </c:pt>
                <c:pt idx="213">
                  <c:v>28.17</c:v>
                </c:pt>
                <c:pt idx="214">
                  <c:v>12.9</c:v>
                </c:pt>
                <c:pt idx="215">
                  <c:v>28.15</c:v>
                </c:pt>
                <c:pt idx="216">
                  <c:v>11.59</c:v>
                </c:pt>
                <c:pt idx="217">
                  <c:v>7.74</c:v>
                </c:pt>
                <c:pt idx="218">
                  <c:v>30.14</c:v>
                </c:pt>
                <c:pt idx="219">
                  <c:v>12.16</c:v>
                </c:pt>
                <c:pt idx="220">
                  <c:v>13.42</c:v>
                </c:pt>
                <c:pt idx="221">
                  <c:v>8.58</c:v>
                </c:pt>
                <c:pt idx="222">
                  <c:v>15.98</c:v>
                </c:pt>
                <c:pt idx="223">
                  <c:v>13.42</c:v>
                </c:pt>
                <c:pt idx="224">
                  <c:v>16.27</c:v>
                </c:pt>
                <c:pt idx="225">
                  <c:v>10.09</c:v>
                </c:pt>
                <c:pt idx="226">
                  <c:v>20.45</c:v>
                </c:pt>
                <c:pt idx="227">
                  <c:v>13.28</c:v>
                </c:pt>
                <c:pt idx="228">
                  <c:v>22.12</c:v>
                </c:pt>
                <c:pt idx="229">
                  <c:v>24.01</c:v>
                </c:pt>
                <c:pt idx="230">
                  <c:v>15.69</c:v>
                </c:pt>
                <c:pt idx="231">
                  <c:v>11.61</c:v>
                </c:pt>
                <c:pt idx="232">
                  <c:v>10.77</c:v>
                </c:pt>
                <c:pt idx="233">
                  <c:v>15.53</c:v>
                </c:pt>
                <c:pt idx="234">
                  <c:v>10.07</c:v>
                </c:pt>
                <c:pt idx="235">
                  <c:v>12.6</c:v>
                </c:pt>
                <c:pt idx="236">
                  <c:v>32.83</c:v>
                </c:pt>
                <c:pt idx="237">
                  <c:v>35.83</c:v>
                </c:pt>
                <c:pt idx="238">
                  <c:v>29.03</c:v>
                </c:pt>
                <c:pt idx="239">
                  <c:v>27.18</c:v>
                </c:pt>
                <c:pt idx="240">
                  <c:v>22.67</c:v>
                </c:pt>
                <c:pt idx="241">
                  <c:v>17.82</c:v>
                </c:pt>
                <c:pt idx="242">
                  <c:v>18.78</c:v>
                </c:pt>
              </c:numCache>
            </c:numRef>
          </c:xVal>
          <c:yVal>
            <c:numRef>
              <c:f>'Aligned Data'!$G$2:$G$244</c:f>
              <c:numCache>
                <c:formatCode>General</c:formatCode>
                <c:ptCount val="243"/>
                <c:pt idx="0">
                  <c:v>1.01</c:v>
                </c:pt>
                <c:pt idx="1">
                  <c:v>1.66</c:v>
                </c:pt>
                <c:pt idx="2">
                  <c:v>3.5</c:v>
                </c:pt>
                <c:pt idx="3">
                  <c:v>3.31</c:v>
                </c:pt>
                <c:pt idx="4">
                  <c:v>3.61</c:v>
                </c:pt>
                <c:pt idx="5">
                  <c:v>4.71</c:v>
                </c:pt>
                <c:pt idx="6">
                  <c:v>2</c:v>
                </c:pt>
                <c:pt idx="7">
                  <c:v>3.12</c:v>
                </c:pt>
                <c:pt idx="8">
                  <c:v>1.96</c:v>
                </c:pt>
                <c:pt idx="9">
                  <c:v>3.23</c:v>
                </c:pt>
                <c:pt idx="10">
                  <c:v>1.71</c:v>
                </c:pt>
                <c:pt idx="11">
                  <c:v>5</c:v>
                </c:pt>
                <c:pt idx="12">
                  <c:v>1.57</c:v>
                </c:pt>
                <c:pt idx="13">
                  <c:v>3</c:v>
                </c:pt>
                <c:pt idx="14">
                  <c:v>3.02</c:v>
                </c:pt>
                <c:pt idx="15">
                  <c:v>3.92</c:v>
                </c:pt>
                <c:pt idx="16">
                  <c:v>1.67</c:v>
                </c:pt>
                <c:pt idx="17">
                  <c:v>3.71</c:v>
                </c:pt>
                <c:pt idx="18">
                  <c:v>3.5</c:v>
                </c:pt>
                <c:pt idx="19">
                  <c:v>3.35</c:v>
                </c:pt>
                <c:pt idx="20">
                  <c:v>4.08</c:v>
                </c:pt>
                <c:pt idx="21">
                  <c:v>2.75</c:v>
                </c:pt>
                <c:pt idx="22">
                  <c:v>2.23</c:v>
                </c:pt>
                <c:pt idx="23">
                  <c:v>7.58</c:v>
                </c:pt>
                <c:pt idx="24">
                  <c:v>3.18</c:v>
                </c:pt>
                <c:pt idx="25">
                  <c:v>2.34</c:v>
                </c:pt>
                <c:pt idx="26">
                  <c:v>2</c:v>
                </c:pt>
                <c:pt idx="27">
                  <c:v>2</c:v>
                </c:pt>
                <c:pt idx="28">
                  <c:v>4.3</c:v>
                </c:pt>
                <c:pt idx="29">
                  <c:v>3</c:v>
                </c:pt>
                <c:pt idx="30">
                  <c:v>1.45</c:v>
                </c:pt>
                <c:pt idx="31">
                  <c:v>2.5</c:v>
                </c:pt>
                <c:pt idx="32">
                  <c:v>3</c:v>
                </c:pt>
                <c:pt idx="33">
                  <c:v>2.4500000000000002</c:v>
                </c:pt>
                <c:pt idx="34">
                  <c:v>3.27</c:v>
                </c:pt>
                <c:pt idx="35">
                  <c:v>3.6</c:v>
                </c:pt>
                <c:pt idx="36">
                  <c:v>2</c:v>
                </c:pt>
                <c:pt idx="37">
                  <c:v>3.07</c:v>
                </c:pt>
                <c:pt idx="38">
                  <c:v>2.31</c:v>
                </c:pt>
                <c:pt idx="39">
                  <c:v>5</c:v>
                </c:pt>
                <c:pt idx="40">
                  <c:v>2.2400000000000002</c:v>
                </c:pt>
                <c:pt idx="41">
                  <c:v>2.54</c:v>
                </c:pt>
                <c:pt idx="42">
                  <c:v>3.06</c:v>
                </c:pt>
                <c:pt idx="43">
                  <c:v>1.32</c:v>
                </c:pt>
                <c:pt idx="44">
                  <c:v>5.6</c:v>
                </c:pt>
                <c:pt idx="45">
                  <c:v>3</c:v>
                </c:pt>
                <c:pt idx="46">
                  <c:v>5</c:v>
                </c:pt>
                <c:pt idx="47">
                  <c:v>6</c:v>
                </c:pt>
                <c:pt idx="48">
                  <c:v>2.0499999999999998</c:v>
                </c:pt>
                <c:pt idx="49">
                  <c:v>3</c:v>
                </c:pt>
                <c:pt idx="50">
                  <c:v>2.5</c:v>
                </c:pt>
                <c:pt idx="51">
                  <c:v>2.6</c:v>
                </c:pt>
                <c:pt idx="52">
                  <c:v>5.2</c:v>
                </c:pt>
                <c:pt idx="53">
                  <c:v>1.56</c:v>
                </c:pt>
                <c:pt idx="54">
                  <c:v>4.34</c:v>
                </c:pt>
                <c:pt idx="55">
                  <c:v>3.51</c:v>
                </c:pt>
                <c:pt idx="56">
                  <c:v>3</c:v>
                </c:pt>
                <c:pt idx="57">
                  <c:v>1.5</c:v>
                </c:pt>
                <c:pt idx="58">
                  <c:v>1.76</c:v>
                </c:pt>
                <c:pt idx="59">
                  <c:v>6.73</c:v>
                </c:pt>
                <c:pt idx="60">
                  <c:v>3.21</c:v>
                </c:pt>
                <c:pt idx="61">
                  <c:v>2</c:v>
                </c:pt>
                <c:pt idx="62">
                  <c:v>1.98</c:v>
                </c:pt>
                <c:pt idx="63">
                  <c:v>3.76</c:v>
                </c:pt>
                <c:pt idx="64">
                  <c:v>2.64</c:v>
                </c:pt>
                <c:pt idx="65">
                  <c:v>3.15</c:v>
                </c:pt>
                <c:pt idx="66">
                  <c:v>2.4700000000000002</c:v>
                </c:pt>
                <c:pt idx="67">
                  <c:v>1</c:v>
                </c:pt>
                <c:pt idx="68">
                  <c:v>2.0099999999999998</c:v>
                </c:pt>
                <c:pt idx="69">
                  <c:v>2.09</c:v>
                </c:pt>
                <c:pt idx="70">
                  <c:v>1.97</c:v>
                </c:pt>
                <c:pt idx="71">
                  <c:v>3</c:v>
                </c:pt>
                <c:pt idx="72">
                  <c:v>3.14</c:v>
                </c:pt>
                <c:pt idx="73">
                  <c:v>5</c:v>
                </c:pt>
                <c:pt idx="74">
                  <c:v>2.2000000000000002</c:v>
                </c:pt>
                <c:pt idx="75">
                  <c:v>1.25</c:v>
                </c:pt>
                <c:pt idx="76">
                  <c:v>3.08</c:v>
                </c:pt>
                <c:pt idx="77">
                  <c:v>4</c:v>
                </c:pt>
                <c:pt idx="78">
                  <c:v>3</c:v>
                </c:pt>
                <c:pt idx="79">
                  <c:v>2.71</c:v>
                </c:pt>
                <c:pt idx="80">
                  <c:v>3</c:v>
                </c:pt>
                <c:pt idx="81">
                  <c:v>3.4</c:v>
                </c:pt>
                <c:pt idx="82">
                  <c:v>1.83</c:v>
                </c:pt>
                <c:pt idx="83">
                  <c:v>5</c:v>
                </c:pt>
                <c:pt idx="84">
                  <c:v>2.0299999999999998</c:v>
                </c:pt>
                <c:pt idx="85">
                  <c:v>5.17</c:v>
                </c:pt>
                <c:pt idx="86">
                  <c:v>2</c:v>
                </c:pt>
                <c:pt idx="87">
                  <c:v>4</c:v>
                </c:pt>
                <c:pt idx="88">
                  <c:v>5.85</c:v>
                </c:pt>
                <c:pt idx="89">
                  <c:v>3</c:v>
                </c:pt>
                <c:pt idx="90">
                  <c:v>3</c:v>
                </c:pt>
                <c:pt idx="91">
                  <c:v>3.5</c:v>
                </c:pt>
                <c:pt idx="92">
                  <c:v>1</c:v>
                </c:pt>
                <c:pt idx="93">
                  <c:v>4.3</c:v>
                </c:pt>
                <c:pt idx="94">
                  <c:v>3.25</c:v>
                </c:pt>
                <c:pt idx="95">
                  <c:v>4.7300000000000004</c:v>
                </c:pt>
                <c:pt idx="96">
                  <c:v>4</c:v>
                </c:pt>
                <c:pt idx="97">
                  <c:v>1.5</c:v>
                </c:pt>
                <c:pt idx="98">
                  <c:v>3</c:v>
                </c:pt>
                <c:pt idx="99">
                  <c:v>1.5</c:v>
                </c:pt>
                <c:pt idx="100">
                  <c:v>2.5</c:v>
                </c:pt>
                <c:pt idx="101">
                  <c:v>3</c:v>
                </c:pt>
                <c:pt idx="102">
                  <c:v>2.5</c:v>
                </c:pt>
                <c:pt idx="103">
                  <c:v>3.48</c:v>
                </c:pt>
                <c:pt idx="104">
                  <c:v>4.08</c:v>
                </c:pt>
                <c:pt idx="105">
                  <c:v>1.64</c:v>
                </c:pt>
                <c:pt idx="106">
                  <c:v>4.0599999999999996</c:v>
                </c:pt>
                <c:pt idx="107">
                  <c:v>4.29</c:v>
                </c:pt>
                <c:pt idx="108">
                  <c:v>3.76</c:v>
                </c:pt>
                <c:pt idx="109">
                  <c:v>4</c:v>
                </c:pt>
                <c:pt idx="110">
                  <c:v>3</c:v>
                </c:pt>
                <c:pt idx="111">
                  <c:v>1</c:v>
                </c:pt>
                <c:pt idx="112">
                  <c:v>4</c:v>
                </c:pt>
                <c:pt idx="113">
                  <c:v>2.5499999999999998</c:v>
                </c:pt>
                <c:pt idx="114">
                  <c:v>4</c:v>
                </c:pt>
                <c:pt idx="115">
                  <c:v>3.5</c:v>
                </c:pt>
                <c:pt idx="116">
                  <c:v>5.07</c:v>
                </c:pt>
                <c:pt idx="117">
                  <c:v>1.5</c:v>
                </c:pt>
                <c:pt idx="118">
                  <c:v>1.8</c:v>
                </c:pt>
                <c:pt idx="119">
                  <c:v>2.92</c:v>
                </c:pt>
                <c:pt idx="120">
                  <c:v>2.31</c:v>
                </c:pt>
                <c:pt idx="121">
                  <c:v>1.68</c:v>
                </c:pt>
                <c:pt idx="122">
                  <c:v>2.5</c:v>
                </c:pt>
                <c:pt idx="123">
                  <c:v>2</c:v>
                </c:pt>
                <c:pt idx="124">
                  <c:v>2.52</c:v>
                </c:pt>
                <c:pt idx="125">
                  <c:v>4.2</c:v>
                </c:pt>
                <c:pt idx="126">
                  <c:v>1.48</c:v>
                </c:pt>
                <c:pt idx="127">
                  <c:v>2</c:v>
                </c:pt>
                <c:pt idx="128">
                  <c:v>2</c:v>
                </c:pt>
                <c:pt idx="129">
                  <c:v>2.1800000000000002</c:v>
                </c:pt>
                <c:pt idx="130">
                  <c:v>1.5</c:v>
                </c:pt>
                <c:pt idx="131">
                  <c:v>2.83</c:v>
                </c:pt>
                <c:pt idx="132">
                  <c:v>1.5</c:v>
                </c:pt>
                <c:pt idx="133">
                  <c:v>2</c:v>
                </c:pt>
                <c:pt idx="134">
                  <c:v>3.25</c:v>
                </c:pt>
                <c:pt idx="135">
                  <c:v>1.25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2.75</c:v>
                </c:pt>
                <c:pt idx="140">
                  <c:v>3.5</c:v>
                </c:pt>
                <c:pt idx="141">
                  <c:v>6.7</c:v>
                </c:pt>
                <c:pt idx="142">
                  <c:v>5</c:v>
                </c:pt>
                <c:pt idx="143">
                  <c:v>5</c:v>
                </c:pt>
                <c:pt idx="144">
                  <c:v>2.2999999999999998</c:v>
                </c:pt>
                <c:pt idx="145">
                  <c:v>1.5</c:v>
                </c:pt>
                <c:pt idx="146">
                  <c:v>1.36</c:v>
                </c:pt>
                <c:pt idx="147">
                  <c:v>1.63</c:v>
                </c:pt>
                <c:pt idx="148">
                  <c:v>1.73</c:v>
                </c:pt>
                <c:pt idx="149">
                  <c:v>2</c:v>
                </c:pt>
                <c:pt idx="150">
                  <c:v>2.5</c:v>
                </c:pt>
                <c:pt idx="151">
                  <c:v>2</c:v>
                </c:pt>
                <c:pt idx="152">
                  <c:v>2.74</c:v>
                </c:pt>
                <c:pt idx="153">
                  <c:v>2</c:v>
                </c:pt>
                <c:pt idx="154">
                  <c:v>2</c:v>
                </c:pt>
                <c:pt idx="155">
                  <c:v>5.14</c:v>
                </c:pt>
                <c:pt idx="156">
                  <c:v>5</c:v>
                </c:pt>
                <c:pt idx="157">
                  <c:v>3.75</c:v>
                </c:pt>
                <c:pt idx="158">
                  <c:v>2.61</c:v>
                </c:pt>
                <c:pt idx="159">
                  <c:v>2</c:v>
                </c:pt>
                <c:pt idx="160">
                  <c:v>3.5</c:v>
                </c:pt>
                <c:pt idx="161">
                  <c:v>2.5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3.48</c:v>
                </c:pt>
                <c:pt idx="166">
                  <c:v>2.2400000000000002</c:v>
                </c:pt>
                <c:pt idx="167">
                  <c:v>4.5</c:v>
                </c:pt>
                <c:pt idx="168">
                  <c:v>1.61</c:v>
                </c:pt>
                <c:pt idx="169">
                  <c:v>2</c:v>
                </c:pt>
                <c:pt idx="170">
                  <c:v>10</c:v>
                </c:pt>
                <c:pt idx="171">
                  <c:v>3.16</c:v>
                </c:pt>
                <c:pt idx="172">
                  <c:v>5.15</c:v>
                </c:pt>
                <c:pt idx="173">
                  <c:v>3.18</c:v>
                </c:pt>
                <c:pt idx="174">
                  <c:v>4</c:v>
                </c:pt>
                <c:pt idx="175">
                  <c:v>3.11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3.55</c:v>
                </c:pt>
                <c:pt idx="180">
                  <c:v>3.68</c:v>
                </c:pt>
                <c:pt idx="181">
                  <c:v>5.65</c:v>
                </c:pt>
                <c:pt idx="182">
                  <c:v>3.5</c:v>
                </c:pt>
                <c:pt idx="183">
                  <c:v>6.5</c:v>
                </c:pt>
                <c:pt idx="184">
                  <c:v>3</c:v>
                </c:pt>
                <c:pt idx="185">
                  <c:v>5</c:v>
                </c:pt>
                <c:pt idx="186">
                  <c:v>3.5</c:v>
                </c:pt>
                <c:pt idx="187">
                  <c:v>2</c:v>
                </c:pt>
                <c:pt idx="188">
                  <c:v>3.5</c:v>
                </c:pt>
                <c:pt idx="189">
                  <c:v>4</c:v>
                </c:pt>
                <c:pt idx="190">
                  <c:v>1.5</c:v>
                </c:pt>
                <c:pt idx="191">
                  <c:v>4.1900000000000004</c:v>
                </c:pt>
                <c:pt idx="192">
                  <c:v>2.56</c:v>
                </c:pt>
                <c:pt idx="193">
                  <c:v>2.02</c:v>
                </c:pt>
                <c:pt idx="194">
                  <c:v>4</c:v>
                </c:pt>
                <c:pt idx="195">
                  <c:v>1.44</c:v>
                </c:pt>
                <c:pt idx="196">
                  <c:v>2</c:v>
                </c:pt>
                <c:pt idx="197">
                  <c:v>5</c:v>
                </c:pt>
                <c:pt idx="198">
                  <c:v>2</c:v>
                </c:pt>
                <c:pt idx="199">
                  <c:v>2</c:v>
                </c:pt>
                <c:pt idx="200">
                  <c:v>4</c:v>
                </c:pt>
                <c:pt idx="201">
                  <c:v>2.0099999999999998</c:v>
                </c:pt>
                <c:pt idx="202">
                  <c:v>2.5</c:v>
                </c:pt>
                <c:pt idx="203">
                  <c:v>4</c:v>
                </c:pt>
                <c:pt idx="204">
                  <c:v>3.23</c:v>
                </c:pt>
                <c:pt idx="205">
                  <c:v>3.41</c:v>
                </c:pt>
                <c:pt idx="206">
                  <c:v>3</c:v>
                </c:pt>
                <c:pt idx="207">
                  <c:v>2.0299999999999998</c:v>
                </c:pt>
                <c:pt idx="208">
                  <c:v>2.23</c:v>
                </c:pt>
                <c:pt idx="209">
                  <c:v>2</c:v>
                </c:pt>
                <c:pt idx="210">
                  <c:v>5.16</c:v>
                </c:pt>
                <c:pt idx="211">
                  <c:v>9</c:v>
                </c:pt>
                <c:pt idx="212">
                  <c:v>2.5</c:v>
                </c:pt>
                <c:pt idx="213">
                  <c:v>6.5</c:v>
                </c:pt>
                <c:pt idx="214">
                  <c:v>1.1000000000000001</c:v>
                </c:pt>
                <c:pt idx="215">
                  <c:v>3</c:v>
                </c:pt>
                <c:pt idx="216">
                  <c:v>1.5</c:v>
                </c:pt>
                <c:pt idx="217">
                  <c:v>1.44</c:v>
                </c:pt>
                <c:pt idx="218">
                  <c:v>3.09</c:v>
                </c:pt>
                <c:pt idx="219">
                  <c:v>2.2000000000000002</c:v>
                </c:pt>
                <c:pt idx="220">
                  <c:v>3.48</c:v>
                </c:pt>
                <c:pt idx="221">
                  <c:v>1.92</c:v>
                </c:pt>
                <c:pt idx="222">
                  <c:v>3</c:v>
                </c:pt>
                <c:pt idx="223">
                  <c:v>1.58</c:v>
                </c:pt>
                <c:pt idx="224">
                  <c:v>2.5</c:v>
                </c:pt>
                <c:pt idx="225">
                  <c:v>2</c:v>
                </c:pt>
                <c:pt idx="226">
                  <c:v>3</c:v>
                </c:pt>
                <c:pt idx="227">
                  <c:v>2.72</c:v>
                </c:pt>
                <c:pt idx="228">
                  <c:v>2.88</c:v>
                </c:pt>
                <c:pt idx="229">
                  <c:v>2</c:v>
                </c:pt>
                <c:pt idx="230">
                  <c:v>3</c:v>
                </c:pt>
                <c:pt idx="231">
                  <c:v>3.39</c:v>
                </c:pt>
                <c:pt idx="232">
                  <c:v>1.47</c:v>
                </c:pt>
                <c:pt idx="233">
                  <c:v>3</c:v>
                </c:pt>
                <c:pt idx="234">
                  <c:v>1.25</c:v>
                </c:pt>
                <c:pt idx="235">
                  <c:v>1</c:v>
                </c:pt>
                <c:pt idx="236">
                  <c:v>1.17</c:v>
                </c:pt>
                <c:pt idx="237">
                  <c:v>4.67</c:v>
                </c:pt>
                <c:pt idx="238">
                  <c:v>5.92</c:v>
                </c:pt>
                <c:pt idx="239">
                  <c:v>2</c:v>
                </c:pt>
                <c:pt idx="240">
                  <c:v>2</c:v>
                </c:pt>
                <c:pt idx="241">
                  <c:v>1.75</c:v>
                </c:pt>
                <c:pt idx="24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3A-42A8-8BC0-F3ED622F7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697775"/>
        <c:axId val="879694415"/>
      </c:scatterChart>
      <c:valAx>
        <c:axId val="87969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Bill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4415"/>
        <c:crosses val="autoZero"/>
        <c:crossBetween val="midCat"/>
      </c:valAx>
      <c:valAx>
        <c:axId val="87969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9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15875</xdr:rowOff>
    </xdr:from>
    <xdr:to>
      <xdr:col>8</xdr:col>
      <xdr:colOff>552450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46301-7FD7-B510-9120-6002571CF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606425</xdr:colOff>
      <xdr:row>19</xdr:row>
      <xdr:rowOff>158750</xdr:rowOff>
    </xdr:from>
    <xdr:to>
      <xdr:col>12</xdr:col>
      <xdr:colOff>441325</xdr:colOff>
      <xdr:row>34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71D5E3-9DB4-9904-9005-DBC6D65F2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12699</xdr:colOff>
      <xdr:row>0</xdr:row>
      <xdr:rowOff>177799</xdr:rowOff>
    </xdr:from>
    <xdr:to>
      <xdr:col>10</xdr:col>
      <xdr:colOff>608903</xdr:colOff>
      <xdr:row>19</xdr:row>
      <xdr:rowOff>165273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BFFABF-3460-46ED-9920-A121AFADC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8698</xdr:colOff>
      <xdr:row>1</xdr:row>
      <xdr:rowOff>17397</xdr:rowOff>
    </xdr:from>
    <xdr:to>
      <xdr:col>22</xdr:col>
      <xdr:colOff>582809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755716-EF8E-4BE7-8242-2A3F90F3E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590550</xdr:colOff>
      <xdr:row>22</xdr:row>
      <xdr:rowOff>165100</xdr:rowOff>
    </xdr:from>
    <xdr:to>
      <xdr:col>10</xdr:col>
      <xdr:colOff>600206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53A7C4-BF45-4744-9C7B-029527587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17397</xdr:colOff>
      <xdr:row>22</xdr:row>
      <xdr:rowOff>182670</xdr:rowOff>
    </xdr:from>
    <xdr:to>
      <xdr:col>22</xdr:col>
      <xdr:colOff>574110</xdr:colOff>
      <xdr:row>39</xdr:row>
      <xdr:rowOff>173972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AF0E21-6518-4312-82CB-434AFF5CA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596900</xdr:colOff>
      <xdr:row>43</xdr:row>
      <xdr:rowOff>26096</xdr:rowOff>
    </xdr:from>
    <xdr:to>
      <xdr:col>11</xdr:col>
      <xdr:colOff>0</xdr:colOff>
      <xdr:row>63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1AF2D0-550A-4DF3-BEFC-753F6A706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14353</xdr:colOff>
      <xdr:row>43</xdr:row>
      <xdr:rowOff>0</xdr:rowOff>
    </xdr:from>
    <xdr:to>
      <xdr:col>22</xdr:col>
      <xdr:colOff>582809</xdr:colOff>
      <xdr:row>63</xdr:row>
      <xdr:rowOff>17397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275987-5159-4203-A08D-9979D9CA9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34324</xdr:colOff>
      <xdr:row>25</xdr:row>
      <xdr:rowOff>0</xdr:rowOff>
    </xdr:from>
    <xdr:to>
      <xdr:col>8</xdr:col>
      <xdr:colOff>17162</xdr:colOff>
      <xdr:row>30</xdr:row>
      <xdr:rowOff>172137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C63F0D3-8FD6-4AE3-B8B5-67190AF8522B}"/>
            </a:ext>
          </a:extLst>
        </xdr:cNvPr>
        <xdr:cNvSpPr/>
      </xdr:nvSpPr>
      <xdr:spPr>
        <a:xfrm>
          <a:off x="4556554" y="6555946"/>
          <a:ext cx="4256216" cy="1073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/>
            <a:t>p value less</a:t>
          </a:r>
          <a:r>
            <a:rPr lang="en-GB" sz="1200" baseline="0"/>
            <a:t> than 5% (0.05)means statistical significant relationship.</a:t>
          </a:r>
        </a:p>
        <a:p>
          <a:pPr algn="l"/>
          <a:r>
            <a:rPr lang="en-GB" sz="1200" baseline="0"/>
            <a:t>eg: p value=</a:t>
          </a:r>
          <a:r>
            <a:rPr lang="en-GB" sz="1200"/>
            <a:t>  0.7923902 , then there is 79% chance that</a:t>
          </a:r>
          <a:r>
            <a:rPr lang="en-GB" sz="1200" baseline="0"/>
            <a:t> it can be explained by randomness.</a:t>
          </a:r>
        </a:p>
        <a:p>
          <a:pPr algn="l"/>
          <a:r>
            <a:rPr lang="en-GB" sz="1200" baseline="0"/>
            <a:t>Exclude variables with p values greater than 0.05</a:t>
          </a:r>
          <a:endParaRPr lang="en-GB" sz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8038</xdr:colOff>
      <xdr:row>20</xdr:row>
      <xdr:rowOff>31829</xdr:rowOff>
    </xdr:from>
    <xdr:to>
      <xdr:col>8</xdr:col>
      <xdr:colOff>795759</xdr:colOff>
      <xdr:row>32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3F32520-1FD9-4FF9-B9B9-35DE51ED2702}"/>
            </a:ext>
          </a:extLst>
        </xdr:cNvPr>
        <xdr:cNvSpPr/>
      </xdr:nvSpPr>
      <xdr:spPr>
        <a:xfrm>
          <a:off x="2451582" y="3809677"/>
          <a:ext cx="5184493" cy="218665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Y=b0 +b1*(X1)+</a:t>
          </a:r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b2*(X2)+....bnXn       </a:t>
          </a:r>
        </a:p>
        <a:p>
          <a:pPr algn="l"/>
          <a:endParaRPr lang="en-GB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where</a:t>
          </a:r>
        </a:p>
        <a:p>
          <a:pPr algn="l"/>
          <a:endParaRPr lang="en-GB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Y= Dependent Variable i.e the variable being predicted</a:t>
          </a:r>
        </a:p>
        <a:p>
          <a:pPr algn="l"/>
          <a:endParaRPr lang="en-GB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font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Constant (B0)= Intercept </a:t>
          </a:r>
          <a:r>
            <a:rPr lang="en-I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representing the value of Y when all Independent variables are zero. </a:t>
          </a:r>
        </a:p>
        <a:p>
          <a:endParaRPr lang="en-IN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X= The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actual </a:t>
          </a:r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Independent variables</a:t>
          </a:r>
          <a:r>
            <a:rPr lang="en-I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which are used to predict the Dependent variable.</a:t>
          </a:r>
        </a:p>
        <a:p>
          <a:r>
            <a:rPr lang="en-I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GB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b1,b2,b3,...,bn= </a:t>
          </a:r>
          <a:r>
            <a:rPr lang="en-I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Regression coefficients for each Independent variable.</a:t>
          </a:r>
          <a:endParaRPr lang="en-GB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603250</xdr:colOff>
      <xdr:row>7</xdr:row>
      <xdr:rowOff>25400</xdr:rowOff>
    </xdr:from>
    <xdr:to>
      <xdr:col>10</xdr:col>
      <xdr:colOff>590550</xdr:colOff>
      <xdr:row>10</xdr:row>
      <xdr:rowOff>139700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676C2AE-CE47-48BA-BCEF-9D25DF209974}"/>
            </a:ext>
          </a:extLst>
        </xdr:cNvPr>
        <xdr:cNvSpPr/>
      </xdr:nvSpPr>
      <xdr:spPr>
        <a:xfrm>
          <a:off x="5397500" y="1403350"/>
          <a:ext cx="3676650" cy="7048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>
              <a:solidFill>
                <a:sysClr val="windowText" lastClr="000000"/>
              </a:solidFill>
            </a:rPr>
            <a:t>Error=</a:t>
          </a:r>
          <a:r>
            <a:rPr lang="en-GB" sz="1100" b="1" baseline="0">
              <a:solidFill>
                <a:sysClr val="windowText" lastClr="000000"/>
              </a:solidFill>
            </a:rPr>
            <a:t> Observation-Forecast (Actual tip-Predicted tip)</a:t>
          </a:r>
        </a:p>
        <a:p>
          <a:pPr algn="l"/>
          <a:r>
            <a:rPr lang="en-GB" sz="1100" b="1" baseline="0">
              <a:solidFill>
                <a:sysClr val="windowText" lastClr="000000"/>
              </a:solidFill>
            </a:rPr>
            <a:t>RMSE=Square root of Mean of Square of errors</a:t>
          </a:r>
        </a:p>
        <a:p>
          <a:pPr algn="l"/>
          <a:r>
            <a:rPr lang="en-GB" sz="1100" b="1" baseline="0">
              <a:solidFill>
                <a:sysClr val="windowText" lastClr="000000"/>
              </a:solidFill>
            </a:rPr>
            <a:t>RMSE evaluates  the quality of predictions.</a:t>
          </a:r>
        </a:p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317500</xdr:colOff>
      <xdr:row>12</xdr:row>
      <xdr:rowOff>158750</xdr:rowOff>
    </xdr:from>
    <xdr:to>
      <xdr:col>12</xdr:col>
      <xdr:colOff>6350</xdr:colOff>
      <xdr:row>15</xdr:row>
      <xdr:rowOff>184150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8A39BD4-7A4C-9335-2859-A34263647726}"/>
            </a:ext>
          </a:extLst>
        </xdr:cNvPr>
        <xdr:cNvSpPr/>
      </xdr:nvSpPr>
      <xdr:spPr>
        <a:xfrm>
          <a:off x="5111750" y="2520950"/>
          <a:ext cx="4597400" cy="615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Taking only the significant variables(size, total_bill) into consideration, we calculated the Predicted Tip for the restaurant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using the multi-variate regression equation.</a:t>
          </a:r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75.682314814818" createdVersion="8" refreshedVersion="8" minRefreshableVersion="3" recordCount="243" xr:uid="{2DCC018B-D8BA-4F52-87E8-2CB59AE22AAB}">
  <cacheSource type="worksheet">
    <worksheetSource ref="A1:G244" sheet="MASTER_DATA"/>
  </cacheSource>
  <cacheFields count="7">
    <cacheField name="sex" numFmtId="0">
      <sharedItems count="2">
        <s v="Female"/>
        <s v="Male"/>
      </sharedItems>
    </cacheField>
    <cacheField name="smoker" numFmtId="0">
      <sharedItems/>
    </cacheField>
    <cacheField name="day" numFmtId="0">
      <sharedItems/>
    </cacheField>
    <cacheField name="time" numFmtId="0">
      <sharedItems count="2">
        <s v="Dinner"/>
        <s v="Lunch"/>
      </sharedItems>
    </cacheField>
    <cacheField name="size" numFmtId="0">
      <sharedItems containsSemiMixedTypes="0" containsString="0" containsNumber="1" containsInteger="1" minValue="1" maxValue="6"/>
    </cacheField>
    <cacheField name="total_bill" numFmtId="0">
      <sharedItems containsSemiMixedTypes="0" containsString="0" containsNumber="1" minValue="3.07" maxValue="50.81"/>
    </cacheField>
    <cacheField name="tip" numFmtId="0">
      <sharedItems containsSemiMixedTypes="0" containsString="0" containsNumb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x v="0"/>
    <s v="No"/>
    <s v="Sun"/>
    <x v="0"/>
    <n v="2"/>
    <n v="16.989999999999998"/>
    <n v="1.01"/>
  </r>
  <r>
    <x v="1"/>
    <s v="No"/>
    <s v="Sun"/>
    <x v="0"/>
    <n v="3"/>
    <n v="10.34"/>
    <n v="1.66"/>
  </r>
  <r>
    <x v="1"/>
    <s v="No"/>
    <s v="Sun"/>
    <x v="0"/>
    <n v="3"/>
    <n v="21.01"/>
    <n v="3.5"/>
  </r>
  <r>
    <x v="1"/>
    <s v="No"/>
    <s v="Sun"/>
    <x v="0"/>
    <n v="2"/>
    <n v="23.68"/>
    <n v="3.31"/>
  </r>
  <r>
    <x v="0"/>
    <s v="No"/>
    <s v="Sun"/>
    <x v="0"/>
    <n v="4"/>
    <n v="24.59"/>
    <n v="3.61"/>
  </r>
  <r>
    <x v="1"/>
    <s v="No"/>
    <s v="Sun"/>
    <x v="0"/>
    <n v="4"/>
    <n v="25.29"/>
    <n v="4.71"/>
  </r>
  <r>
    <x v="1"/>
    <s v="No"/>
    <s v="Sun"/>
    <x v="0"/>
    <n v="2"/>
    <n v="8.77"/>
    <n v="2"/>
  </r>
  <r>
    <x v="1"/>
    <s v="No"/>
    <s v="Sun"/>
    <x v="0"/>
    <n v="4"/>
    <n v="26.88"/>
    <n v="3.12"/>
  </r>
  <r>
    <x v="1"/>
    <s v="No"/>
    <s v="Sun"/>
    <x v="0"/>
    <n v="2"/>
    <n v="15.04"/>
    <n v="1.96"/>
  </r>
  <r>
    <x v="1"/>
    <s v="No"/>
    <s v="Sun"/>
    <x v="0"/>
    <n v="2"/>
    <n v="14.78"/>
    <n v="3.23"/>
  </r>
  <r>
    <x v="1"/>
    <s v="No"/>
    <s v="Sun"/>
    <x v="0"/>
    <n v="2"/>
    <n v="10.27"/>
    <n v="1.71"/>
  </r>
  <r>
    <x v="0"/>
    <s v="No"/>
    <s v="Sun"/>
    <x v="0"/>
    <n v="4"/>
    <n v="35.26"/>
    <n v="5"/>
  </r>
  <r>
    <x v="1"/>
    <s v="No"/>
    <s v="Sun"/>
    <x v="0"/>
    <n v="2"/>
    <n v="15.42"/>
    <n v="1.57"/>
  </r>
  <r>
    <x v="1"/>
    <s v="No"/>
    <s v="Sun"/>
    <x v="0"/>
    <n v="4"/>
    <n v="18.43"/>
    <n v="3"/>
  </r>
  <r>
    <x v="0"/>
    <s v="No"/>
    <s v="Sun"/>
    <x v="0"/>
    <n v="2"/>
    <n v="14.83"/>
    <n v="3.02"/>
  </r>
  <r>
    <x v="1"/>
    <s v="No"/>
    <s v="Sun"/>
    <x v="0"/>
    <n v="2"/>
    <n v="21.58"/>
    <n v="3.92"/>
  </r>
  <r>
    <x v="0"/>
    <s v="No"/>
    <s v="Sun"/>
    <x v="0"/>
    <n v="3"/>
    <n v="10.33"/>
    <n v="1.67"/>
  </r>
  <r>
    <x v="1"/>
    <s v="No"/>
    <s v="Sun"/>
    <x v="0"/>
    <n v="3"/>
    <n v="16.29"/>
    <n v="3.71"/>
  </r>
  <r>
    <x v="0"/>
    <s v="No"/>
    <s v="Sun"/>
    <x v="0"/>
    <n v="3"/>
    <n v="16.97"/>
    <n v="3.5"/>
  </r>
  <r>
    <x v="1"/>
    <s v="No"/>
    <s v="Sat"/>
    <x v="0"/>
    <n v="3"/>
    <n v="20.65"/>
    <n v="3.35"/>
  </r>
  <r>
    <x v="1"/>
    <s v="No"/>
    <s v="Sat"/>
    <x v="0"/>
    <n v="2"/>
    <n v="17.920000000000002"/>
    <n v="4.08"/>
  </r>
  <r>
    <x v="0"/>
    <s v="No"/>
    <s v="Sat"/>
    <x v="0"/>
    <n v="2"/>
    <n v="20.29"/>
    <n v="2.75"/>
  </r>
  <r>
    <x v="0"/>
    <s v="No"/>
    <s v="Sat"/>
    <x v="0"/>
    <n v="2"/>
    <n v="15.77"/>
    <n v="2.23"/>
  </r>
  <r>
    <x v="1"/>
    <s v="No"/>
    <s v="Sat"/>
    <x v="0"/>
    <n v="4"/>
    <n v="39.42"/>
    <n v="7.58"/>
  </r>
  <r>
    <x v="1"/>
    <s v="No"/>
    <s v="Sat"/>
    <x v="0"/>
    <n v="2"/>
    <n v="19.82"/>
    <n v="3.18"/>
  </r>
  <r>
    <x v="1"/>
    <s v="No"/>
    <s v="Sat"/>
    <x v="0"/>
    <n v="4"/>
    <n v="17.809999999999999"/>
    <n v="2.34"/>
  </r>
  <r>
    <x v="1"/>
    <s v="No"/>
    <s v="Sat"/>
    <x v="0"/>
    <n v="2"/>
    <n v="13.37"/>
    <n v="2"/>
  </r>
  <r>
    <x v="1"/>
    <s v="No"/>
    <s v="Sat"/>
    <x v="0"/>
    <n v="2"/>
    <n v="12.69"/>
    <n v="2"/>
  </r>
  <r>
    <x v="1"/>
    <s v="No"/>
    <s v="Sat"/>
    <x v="0"/>
    <n v="2"/>
    <n v="21.7"/>
    <n v="4.3"/>
  </r>
  <r>
    <x v="0"/>
    <s v="No"/>
    <s v="Sat"/>
    <x v="0"/>
    <n v="2"/>
    <n v="19.649999999999999"/>
    <n v="3"/>
  </r>
  <r>
    <x v="1"/>
    <s v="No"/>
    <s v="Sat"/>
    <x v="0"/>
    <n v="2"/>
    <n v="9.5500000000000007"/>
    <n v="1.45"/>
  </r>
  <r>
    <x v="1"/>
    <s v="No"/>
    <s v="Sat"/>
    <x v="0"/>
    <n v="4"/>
    <n v="18.350000000000001"/>
    <n v="2.5"/>
  </r>
  <r>
    <x v="0"/>
    <s v="No"/>
    <s v="Sat"/>
    <x v="0"/>
    <n v="2"/>
    <n v="15.06"/>
    <n v="3"/>
  </r>
  <r>
    <x v="0"/>
    <s v="No"/>
    <s v="Sat"/>
    <x v="0"/>
    <n v="4"/>
    <n v="20.69"/>
    <n v="2.4500000000000002"/>
  </r>
  <r>
    <x v="1"/>
    <s v="No"/>
    <s v="Sat"/>
    <x v="0"/>
    <n v="2"/>
    <n v="17.78"/>
    <n v="3.27"/>
  </r>
  <r>
    <x v="1"/>
    <s v="No"/>
    <s v="Sat"/>
    <x v="0"/>
    <n v="3"/>
    <n v="24.06"/>
    <n v="3.6"/>
  </r>
  <r>
    <x v="1"/>
    <s v="No"/>
    <s v="Sat"/>
    <x v="0"/>
    <n v="3"/>
    <n v="16.309999999999999"/>
    <n v="2"/>
  </r>
  <r>
    <x v="0"/>
    <s v="No"/>
    <s v="Sat"/>
    <x v="0"/>
    <n v="3"/>
    <n v="16.93"/>
    <n v="3.07"/>
  </r>
  <r>
    <x v="1"/>
    <s v="No"/>
    <s v="Sat"/>
    <x v="0"/>
    <n v="3"/>
    <n v="18.690000000000001"/>
    <n v="2.31"/>
  </r>
  <r>
    <x v="1"/>
    <s v="No"/>
    <s v="Sat"/>
    <x v="0"/>
    <n v="3"/>
    <n v="31.27"/>
    <n v="5"/>
  </r>
  <r>
    <x v="1"/>
    <s v="No"/>
    <s v="Sat"/>
    <x v="0"/>
    <n v="3"/>
    <n v="16.04"/>
    <n v="2.2400000000000002"/>
  </r>
  <r>
    <x v="1"/>
    <s v="No"/>
    <s v="Sun"/>
    <x v="0"/>
    <n v="2"/>
    <n v="17.46"/>
    <n v="2.54"/>
  </r>
  <r>
    <x v="1"/>
    <s v="No"/>
    <s v="Sun"/>
    <x v="0"/>
    <n v="2"/>
    <n v="13.94"/>
    <n v="3.06"/>
  </r>
  <r>
    <x v="1"/>
    <s v="No"/>
    <s v="Sun"/>
    <x v="0"/>
    <n v="2"/>
    <n v="9.68"/>
    <n v="1.32"/>
  </r>
  <r>
    <x v="1"/>
    <s v="No"/>
    <s v="Sun"/>
    <x v="0"/>
    <n v="4"/>
    <n v="30.4"/>
    <n v="5.6"/>
  </r>
  <r>
    <x v="1"/>
    <s v="No"/>
    <s v="Sun"/>
    <x v="0"/>
    <n v="2"/>
    <n v="18.29"/>
    <n v="3"/>
  </r>
  <r>
    <x v="1"/>
    <s v="No"/>
    <s v="Sun"/>
    <x v="0"/>
    <n v="2"/>
    <n v="22.23"/>
    <n v="5"/>
  </r>
  <r>
    <x v="1"/>
    <s v="No"/>
    <s v="Sun"/>
    <x v="0"/>
    <n v="4"/>
    <n v="32.4"/>
    <n v="6"/>
  </r>
  <r>
    <x v="1"/>
    <s v="No"/>
    <s v="Sun"/>
    <x v="0"/>
    <n v="3"/>
    <n v="28.55"/>
    <n v="2.0499999999999998"/>
  </r>
  <r>
    <x v="1"/>
    <s v="No"/>
    <s v="Sun"/>
    <x v="0"/>
    <n v="2"/>
    <n v="18.04"/>
    <n v="3"/>
  </r>
  <r>
    <x v="1"/>
    <s v="No"/>
    <s v="Sun"/>
    <x v="0"/>
    <n v="2"/>
    <n v="12.54"/>
    <n v="2.5"/>
  </r>
  <r>
    <x v="0"/>
    <s v="No"/>
    <s v="Sun"/>
    <x v="0"/>
    <n v="2"/>
    <n v="10.29"/>
    <n v="2.6"/>
  </r>
  <r>
    <x v="0"/>
    <s v="No"/>
    <s v="Sun"/>
    <x v="0"/>
    <n v="4"/>
    <n v="34.81"/>
    <n v="5.2"/>
  </r>
  <r>
    <x v="1"/>
    <s v="No"/>
    <s v="Sun"/>
    <x v="0"/>
    <n v="2"/>
    <n v="9.94"/>
    <n v="1.56"/>
  </r>
  <r>
    <x v="1"/>
    <s v="No"/>
    <s v="Sun"/>
    <x v="0"/>
    <n v="4"/>
    <n v="25.56"/>
    <n v="4.34"/>
  </r>
  <r>
    <x v="1"/>
    <s v="No"/>
    <s v="Sun"/>
    <x v="0"/>
    <n v="2"/>
    <n v="19.489999999999998"/>
    <n v="3.51"/>
  </r>
  <r>
    <x v="1"/>
    <s v="Yes"/>
    <s v="Sat"/>
    <x v="0"/>
    <n v="4"/>
    <n v="38.01"/>
    <n v="3"/>
  </r>
  <r>
    <x v="0"/>
    <s v="No"/>
    <s v="Sat"/>
    <x v="0"/>
    <n v="2"/>
    <n v="26.41"/>
    <n v="1.5"/>
  </r>
  <r>
    <x v="1"/>
    <s v="Yes"/>
    <s v="Sat"/>
    <x v="0"/>
    <n v="2"/>
    <n v="11.24"/>
    <n v="1.76"/>
  </r>
  <r>
    <x v="1"/>
    <s v="No"/>
    <s v="Sat"/>
    <x v="0"/>
    <n v="4"/>
    <n v="48.27"/>
    <n v="6.73"/>
  </r>
  <r>
    <x v="1"/>
    <s v="Yes"/>
    <s v="Sat"/>
    <x v="0"/>
    <n v="2"/>
    <n v="20.29"/>
    <n v="3.21"/>
  </r>
  <r>
    <x v="1"/>
    <s v="Yes"/>
    <s v="Sat"/>
    <x v="0"/>
    <n v="2"/>
    <n v="13.81"/>
    <n v="2"/>
  </r>
  <r>
    <x v="1"/>
    <s v="Yes"/>
    <s v="Sat"/>
    <x v="0"/>
    <n v="2"/>
    <n v="11.02"/>
    <n v="1.98"/>
  </r>
  <r>
    <x v="1"/>
    <s v="Yes"/>
    <s v="Sat"/>
    <x v="0"/>
    <n v="4"/>
    <n v="18.29"/>
    <n v="3.76"/>
  </r>
  <r>
    <x v="1"/>
    <s v="No"/>
    <s v="Sat"/>
    <x v="0"/>
    <n v="3"/>
    <n v="17.59"/>
    <n v="2.64"/>
  </r>
  <r>
    <x v="1"/>
    <s v="No"/>
    <s v="Sat"/>
    <x v="0"/>
    <n v="3"/>
    <n v="20.079999999999998"/>
    <n v="3.15"/>
  </r>
  <r>
    <x v="0"/>
    <s v="No"/>
    <s v="Sat"/>
    <x v="0"/>
    <n v="2"/>
    <n v="16.45"/>
    <n v="2.4700000000000002"/>
  </r>
  <r>
    <x v="0"/>
    <s v="Yes"/>
    <s v="Sat"/>
    <x v="0"/>
    <n v="1"/>
    <n v="3.07"/>
    <n v="1"/>
  </r>
  <r>
    <x v="1"/>
    <s v="No"/>
    <s v="Sat"/>
    <x v="0"/>
    <n v="2"/>
    <n v="20.23"/>
    <n v="2.0099999999999998"/>
  </r>
  <r>
    <x v="1"/>
    <s v="Yes"/>
    <s v="Sat"/>
    <x v="0"/>
    <n v="2"/>
    <n v="15.01"/>
    <n v="2.09"/>
  </r>
  <r>
    <x v="1"/>
    <s v="No"/>
    <s v="Sat"/>
    <x v="0"/>
    <n v="2"/>
    <n v="12.02"/>
    <n v="1.97"/>
  </r>
  <r>
    <x v="0"/>
    <s v="No"/>
    <s v="Sat"/>
    <x v="0"/>
    <n v="3"/>
    <n v="17.07"/>
    <n v="3"/>
  </r>
  <r>
    <x v="0"/>
    <s v="Yes"/>
    <s v="Sat"/>
    <x v="0"/>
    <n v="2"/>
    <n v="26.86"/>
    <n v="3.14"/>
  </r>
  <r>
    <x v="0"/>
    <s v="Yes"/>
    <s v="Sat"/>
    <x v="0"/>
    <n v="2"/>
    <n v="25.28"/>
    <n v="5"/>
  </r>
  <r>
    <x v="0"/>
    <s v="No"/>
    <s v="Sat"/>
    <x v="0"/>
    <n v="2"/>
    <n v="14.73"/>
    <n v="2.2000000000000002"/>
  </r>
  <r>
    <x v="1"/>
    <s v="No"/>
    <s v="Sat"/>
    <x v="0"/>
    <n v="2"/>
    <n v="10.51"/>
    <n v="1.25"/>
  </r>
  <r>
    <x v="1"/>
    <s v="Yes"/>
    <s v="Sat"/>
    <x v="0"/>
    <n v="2"/>
    <n v="17.920000000000002"/>
    <n v="3.08"/>
  </r>
  <r>
    <x v="1"/>
    <s v="No"/>
    <s v="Thur"/>
    <x v="1"/>
    <n v="4"/>
    <n v="27.2"/>
    <n v="4"/>
  </r>
  <r>
    <x v="1"/>
    <s v="No"/>
    <s v="Thur"/>
    <x v="1"/>
    <n v="2"/>
    <n v="22.76"/>
    <n v="3"/>
  </r>
  <r>
    <x v="1"/>
    <s v="No"/>
    <s v="Thur"/>
    <x v="1"/>
    <n v="2"/>
    <n v="17.29"/>
    <n v="2.71"/>
  </r>
  <r>
    <x v="1"/>
    <s v="Yes"/>
    <s v="Thur"/>
    <x v="1"/>
    <n v="2"/>
    <n v="19.440000000000001"/>
    <n v="3"/>
  </r>
  <r>
    <x v="1"/>
    <s v="No"/>
    <s v="Thur"/>
    <x v="1"/>
    <n v="2"/>
    <n v="16.66"/>
    <n v="3.4"/>
  </r>
  <r>
    <x v="0"/>
    <s v="No"/>
    <s v="Thur"/>
    <x v="1"/>
    <n v="1"/>
    <n v="10.07"/>
    <n v="1.83"/>
  </r>
  <r>
    <x v="1"/>
    <s v="Yes"/>
    <s v="Thur"/>
    <x v="1"/>
    <n v="2"/>
    <n v="32.68"/>
    <n v="5"/>
  </r>
  <r>
    <x v="1"/>
    <s v="No"/>
    <s v="Thur"/>
    <x v="1"/>
    <n v="2"/>
    <n v="15.98"/>
    <n v="2.0299999999999998"/>
  </r>
  <r>
    <x v="0"/>
    <s v="No"/>
    <s v="Thur"/>
    <x v="1"/>
    <n v="4"/>
    <n v="34.83"/>
    <n v="5.17"/>
  </r>
  <r>
    <x v="1"/>
    <s v="No"/>
    <s v="Thur"/>
    <x v="1"/>
    <n v="2"/>
    <n v="13.03"/>
    <n v="2"/>
  </r>
  <r>
    <x v="1"/>
    <s v="No"/>
    <s v="Thur"/>
    <x v="1"/>
    <n v="2"/>
    <n v="18.28"/>
    <n v="4"/>
  </r>
  <r>
    <x v="1"/>
    <s v="No"/>
    <s v="Thur"/>
    <x v="1"/>
    <n v="2"/>
    <n v="24.71"/>
    <n v="5.85"/>
  </r>
  <r>
    <x v="1"/>
    <s v="No"/>
    <s v="Thur"/>
    <x v="1"/>
    <n v="2"/>
    <n v="21.16"/>
    <n v="3"/>
  </r>
  <r>
    <x v="1"/>
    <s v="Yes"/>
    <s v="Fri"/>
    <x v="0"/>
    <n v="2"/>
    <n v="28.97"/>
    <n v="3"/>
  </r>
  <r>
    <x v="1"/>
    <s v="No"/>
    <s v="Fri"/>
    <x v="0"/>
    <n v="2"/>
    <n v="22.49"/>
    <n v="3.5"/>
  </r>
  <r>
    <x v="0"/>
    <s v="Yes"/>
    <s v="Fri"/>
    <x v="0"/>
    <n v="2"/>
    <n v="5.75"/>
    <n v="1"/>
  </r>
  <r>
    <x v="0"/>
    <s v="Yes"/>
    <s v="Fri"/>
    <x v="0"/>
    <n v="2"/>
    <n v="16.32"/>
    <n v="4.3"/>
  </r>
  <r>
    <x v="0"/>
    <s v="No"/>
    <s v="Fri"/>
    <x v="0"/>
    <n v="2"/>
    <n v="22.75"/>
    <n v="3.25"/>
  </r>
  <r>
    <x v="1"/>
    <s v="Yes"/>
    <s v="Fri"/>
    <x v="0"/>
    <n v="4"/>
    <n v="40.17"/>
    <n v="4.7300000000000004"/>
  </r>
  <r>
    <x v="1"/>
    <s v="Yes"/>
    <s v="Fri"/>
    <x v="0"/>
    <n v="2"/>
    <n v="27.28"/>
    <n v="4"/>
  </r>
  <r>
    <x v="1"/>
    <s v="Yes"/>
    <s v="Fri"/>
    <x v="0"/>
    <n v="2"/>
    <n v="12.03"/>
    <n v="1.5"/>
  </r>
  <r>
    <x v="1"/>
    <s v="Yes"/>
    <s v="Fri"/>
    <x v="0"/>
    <n v="2"/>
    <n v="21.01"/>
    <n v="3"/>
  </r>
  <r>
    <x v="1"/>
    <s v="No"/>
    <s v="Fri"/>
    <x v="0"/>
    <n v="2"/>
    <n v="12.46"/>
    <n v="1.5"/>
  </r>
  <r>
    <x v="0"/>
    <s v="Yes"/>
    <s v="Fri"/>
    <x v="0"/>
    <n v="2"/>
    <n v="11.35"/>
    <n v="2.5"/>
  </r>
  <r>
    <x v="0"/>
    <s v="Yes"/>
    <s v="Fri"/>
    <x v="0"/>
    <n v="2"/>
    <n v="15.38"/>
    <n v="3"/>
  </r>
  <r>
    <x v="0"/>
    <s v="Yes"/>
    <s v="Sat"/>
    <x v="0"/>
    <n v="3"/>
    <n v="44.3"/>
    <n v="2.5"/>
  </r>
  <r>
    <x v="0"/>
    <s v="Yes"/>
    <s v="Sat"/>
    <x v="0"/>
    <n v="2"/>
    <n v="22.42"/>
    <n v="3.48"/>
  </r>
  <r>
    <x v="0"/>
    <s v="No"/>
    <s v="Sat"/>
    <x v="0"/>
    <n v="2"/>
    <n v="20.92"/>
    <n v="4.08"/>
  </r>
  <r>
    <x v="1"/>
    <s v="Yes"/>
    <s v="Sat"/>
    <x v="0"/>
    <n v="2"/>
    <n v="15.36"/>
    <n v="1.64"/>
  </r>
  <r>
    <x v="1"/>
    <s v="Yes"/>
    <s v="Sat"/>
    <x v="0"/>
    <n v="2"/>
    <n v="20.49"/>
    <n v="4.0599999999999996"/>
  </r>
  <r>
    <x v="1"/>
    <s v="Yes"/>
    <s v="Sat"/>
    <x v="0"/>
    <n v="2"/>
    <n v="25.21"/>
    <n v="4.29"/>
  </r>
  <r>
    <x v="1"/>
    <s v="No"/>
    <s v="Sat"/>
    <x v="0"/>
    <n v="2"/>
    <n v="18.239999999999998"/>
    <n v="3.76"/>
  </r>
  <r>
    <x v="0"/>
    <s v="Yes"/>
    <s v="Sat"/>
    <x v="0"/>
    <n v="2"/>
    <n v="14.31"/>
    <n v="4"/>
  </r>
  <r>
    <x v="1"/>
    <s v="No"/>
    <s v="Sat"/>
    <x v="0"/>
    <n v="2"/>
    <n v="14"/>
    <n v="3"/>
  </r>
  <r>
    <x v="0"/>
    <s v="No"/>
    <s v="Sat"/>
    <x v="0"/>
    <n v="1"/>
    <n v="7.25"/>
    <n v="1"/>
  </r>
  <r>
    <x v="1"/>
    <s v="No"/>
    <s v="Sun"/>
    <x v="0"/>
    <n v="3"/>
    <n v="38.07"/>
    <n v="4"/>
  </r>
  <r>
    <x v="1"/>
    <s v="No"/>
    <s v="Sun"/>
    <x v="0"/>
    <n v="2"/>
    <n v="23.95"/>
    <n v="2.5499999999999998"/>
  </r>
  <r>
    <x v="0"/>
    <s v="No"/>
    <s v="Sun"/>
    <x v="0"/>
    <n v="3"/>
    <n v="25.71"/>
    <n v="4"/>
  </r>
  <r>
    <x v="0"/>
    <s v="No"/>
    <s v="Sun"/>
    <x v="0"/>
    <n v="2"/>
    <n v="17.309999999999999"/>
    <n v="3.5"/>
  </r>
  <r>
    <x v="1"/>
    <s v="No"/>
    <s v="Sun"/>
    <x v="0"/>
    <n v="4"/>
    <n v="29.93"/>
    <n v="5.07"/>
  </r>
  <r>
    <x v="0"/>
    <s v="No"/>
    <s v="Thur"/>
    <x v="1"/>
    <n v="2"/>
    <n v="10.65"/>
    <n v="1.5"/>
  </r>
  <r>
    <x v="0"/>
    <s v="No"/>
    <s v="Thur"/>
    <x v="1"/>
    <n v="2"/>
    <n v="12.43"/>
    <n v="1.8"/>
  </r>
  <r>
    <x v="0"/>
    <s v="No"/>
    <s v="Thur"/>
    <x v="1"/>
    <n v="4"/>
    <n v="24.08"/>
    <n v="2.92"/>
  </r>
  <r>
    <x v="1"/>
    <s v="No"/>
    <s v="Thur"/>
    <x v="1"/>
    <n v="2"/>
    <n v="11.69"/>
    <n v="2.31"/>
  </r>
  <r>
    <x v="0"/>
    <s v="No"/>
    <s v="Thur"/>
    <x v="1"/>
    <n v="2"/>
    <n v="13.42"/>
    <n v="1.68"/>
  </r>
  <r>
    <x v="1"/>
    <s v="No"/>
    <s v="Thur"/>
    <x v="1"/>
    <n v="2"/>
    <n v="14.26"/>
    <n v="2.5"/>
  </r>
  <r>
    <x v="1"/>
    <s v="No"/>
    <s v="Thur"/>
    <x v="1"/>
    <n v="2"/>
    <n v="15.95"/>
    <n v="2"/>
  </r>
  <r>
    <x v="0"/>
    <s v="No"/>
    <s v="Thur"/>
    <x v="1"/>
    <n v="2"/>
    <n v="12.48"/>
    <n v="2.52"/>
  </r>
  <r>
    <x v="0"/>
    <s v="No"/>
    <s v="Thur"/>
    <x v="1"/>
    <n v="6"/>
    <n v="29.8"/>
    <n v="4.2"/>
  </r>
  <r>
    <x v="1"/>
    <s v="No"/>
    <s v="Thur"/>
    <x v="1"/>
    <n v="2"/>
    <n v="8.52"/>
    <n v="1.48"/>
  </r>
  <r>
    <x v="0"/>
    <s v="No"/>
    <s v="Thur"/>
    <x v="1"/>
    <n v="2"/>
    <n v="14.52"/>
    <n v="2"/>
  </r>
  <r>
    <x v="0"/>
    <s v="No"/>
    <s v="Thur"/>
    <x v="1"/>
    <n v="2"/>
    <n v="11.38"/>
    <n v="2"/>
  </r>
  <r>
    <x v="1"/>
    <s v="No"/>
    <s v="Thur"/>
    <x v="1"/>
    <n v="3"/>
    <n v="22.82"/>
    <n v="2.1800000000000002"/>
  </r>
  <r>
    <x v="1"/>
    <s v="No"/>
    <s v="Thur"/>
    <x v="1"/>
    <n v="2"/>
    <n v="19.079999999999998"/>
    <n v="1.5"/>
  </r>
  <r>
    <x v="0"/>
    <s v="No"/>
    <s v="Thur"/>
    <x v="1"/>
    <n v="2"/>
    <n v="20.27"/>
    <n v="2.83"/>
  </r>
  <r>
    <x v="0"/>
    <s v="No"/>
    <s v="Thur"/>
    <x v="1"/>
    <n v="2"/>
    <n v="11.17"/>
    <n v="1.5"/>
  </r>
  <r>
    <x v="0"/>
    <s v="No"/>
    <s v="Thur"/>
    <x v="1"/>
    <n v="2"/>
    <n v="12.26"/>
    <n v="2"/>
  </r>
  <r>
    <x v="0"/>
    <s v="No"/>
    <s v="Thur"/>
    <x v="1"/>
    <n v="2"/>
    <n v="18.260000000000002"/>
    <n v="3.25"/>
  </r>
  <r>
    <x v="0"/>
    <s v="No"/>
    <s v="Thur"/>
    <x v="1"/>
    <n v="2"/>
    <n v="8.51"/>
    <n v="1.25"/>
  </r>
  <r>
    <x v="0"/>
    <s v="No"/>
    <s v="Thur"/>
    <x v="1"/>
    <n v="2"/>
    <n v="10.33"/>
    <n v="2"/>
  </r>
  <r>
    <x v="0"/>
    <s v="No"/>
    <s v="Thur"/>
    <x v="1"/>
    <n v="2"/>
    <n v="14.15"/>
    <n v="2"/>
  </r>
  <r>
    <x v="1"/>
    <s v="Yes"/>
    <s v="Thur"/>
    <x v="1"/>
    <n v="2"/>
    <n v="16"/>
    <n v="2"/>
  </r>
  <r>
    <x v="0"/>
    <s v="No"/>
    <s v="Thur"/>
    <x v="1"/>
    <n v="2"/>
    <n v="13.16"/>
    <n v="2.75"/>
  </r>
  <r>
    <x v="0"/>
    <s v="No"/>
    <s v="Thur"/>
    <x v="1"/>
    <n v="2"/>
    <n v="17.47"/>
    <n v="3.5"/>
  </r>
  <r>
    <x v="1"/>
    <s v="No"/>
    <s v="Thur"/>
    <x v="1"/>
    <n v="6"/>
    <n v="34.299999999999997"/>
    <n v="6.7"/>
  </r>
  <r>
    <x v="1"/>
    <s v="No"/>
    <s v="Thur"/>
    <x v="1"/>
    <n v="5"/>
    <n v="41.19"/>
    <n v="5"/>
  </r>
  <r>
    <x v="0"/>
    <s v="No"/>
    <s v="Thur"/>
    <x v="1"/>
    <n v="6"/>
    <n v="27.05"/>
    <n v="5"/>
  </r>
  <r>
    <x v="0"/>
    <s v="No"/>
    <s v="Thur"/>
    <x v="1"/>
    <n v="2"/>
    <n v="16.43"/>
    <n v="2.2999999999999998"/>
  </r>
  <r>
    <x v="0"/>
    <s v="No"/>
    <s v="Thur"/>
    <x v="1"/>
    <n v="2"/>
    <n v="8.35"/>
    <n v="1.5"/>
  </r>
  <r>
    <x v="0"/>
    <s v="No"/>
    <s v="Thur"/>
    <x v="1"/>
    <n v="3"/>
    <n v="18.64"/>
    <n v="1.36"/>
  </r>
  <r>
    <x v="0"/>
    <s v="No"/>
    <s v="Thur"/>
    <x v="1"/>
    <n v="2"/>
    <n v="11.87"/>
    <n v="1.63"/>
  </r>
  <r>
    <x v="1"/>
    <s v="No"/>
    <s v="Thur"/>
    <x v="1"/>
    <n v="2"/>
    <n v="9.7799999999999994"/>
    <n v="1.73"/>
  </r>
  <r>
    <x v="1"/>
    <s v="No"/>
    <s v="Thur"/>
    <x v="1"/>
    <n v="2"/>
    <n v="7.51"/>
    <n v="2"/>
  </r>
  <r>
    <x v="1"/>
    <s v="No"/>
    <s v="Sun"/>
    <x v="0"/>
    <n v="2"/>
    <n v="14.07"/>
    <n v="2.5"/>
  </r>
  <r>
    <x v="1"/>
    <s v="No"/>
    <s v="Sun"/>
    <x v="0"/>
    <n v="2"/>
    <n v="13.13"/>
    <n v="2"/>
  </r>
  <r>
    <x v="1"/>
    <s v="No"/>
    <s v="Sun"/>
    <x v="0"/>
    <n v="3"/>
    <n v="17.260000000000002"/>
    <n v="2.74"/>
  </r>
  <r>
    <x v="1"/>
    <s v="No"/>
    <s v="Sun"/>
    <x v="0"/>
    <n v="4"/>
    <n v="24.55"/>
    <n v="2"/>
  </r>
  <r>
    <x v="1"/>
    <s v="No"/>
    <s v="Sun"/>
    <x v="0"/>
    <n v="4"/>
    <n v="19.77"/>
    <n v="2"/>
  </r>
  <r>
    <x v="0"/>
    <s v="No"/>
    <s v="Sun"/>
    <x v="0"/>
    <n v="5"/>
    <n v="29.85"/>
    <n v="5.14"/>
  </r>
  <r>
    <x v="1"/>
    <s v="No"/>
    <s v="Sun"/>
    <x v="0"/>
    <n v="6"/>
    <n v="48.17"/>
    <n v="5"/>
  </r>
  <r>
    <x v="0"/>
    <s v="No"/>
    <s v="Sun"/>
    <x v="0"/>
    <n v="4"/>
    <n v="25"/>
    <n v="3.75"/>
  </r>
  <r>
    <x v="0"/>
    <s v="No"/>
    <s v="Sun"/>
    <x v="0"/>
    <n v="2"/>
    <n v="13.39"/>
    <n v="2.61"/>
  </r>
  <r>
    <x v="1"/>
    <s v="No"/>
    <s v="Sun"/>
    <x v="0"/>
    <n v="4"/>
    <n v="16.489999999999998"/>
    <n v="2"/>
  </r>
  <r>
    <x v="1"/>
    <s v="No"/>
    <s v="Sun"/>
    <x v="0"/>
    <n v="4"/>
    <n v="21.5"/>
    <n v="3.5"/>
  </r>
  <r>
    <x v="1"/>
    <s v="No"/>
    <s v="Sun"/>
    <x v="0"/>
    <n v="2"/>
    <n v="12.66"/>
    <n v="2.5"/>
  </r>
  <r>
    <x v="0"/>
    <s v="No"/>
    <s v="Sun"/>
    <x v="0"/>
    <n v="3"/>
    <n v="16.21"/>
    <n v="2"/>
  </r>
  <r>
    <x v="1"/>
    <s v="No"/>
    <s v="Sun"/>
    <x v="0"/>
    <n v="2"/>
    <n v="13.81"/>
    <n v="2"/>
  </r>
  <r>
    <x v="0"/>
    <s v="Yes"/>
    <s v="Sun"/>
    <x v="0"/>
    <n v="2"/>
    <n v="17.510000000000002"/>
    <n v="3"/>
  </r>
  <r>
    <x v="1"/>
    <s v="No"/>
    <s v="Sun"/>
    <x v="0"/>
    <n v="3"/>
    <n v="24.52"/>
    <n v="3.48"/>
  </r>
  <r>
    <x v="1"/>
    <s v="No"/>
    <s v="Sun"/>
    <x v="0"/>
    <n v="2"/>
    <n v="20.76"/>
    <n v="2.2400000000000002"/>
  </r>
  <r>
    <x v="1"/>
    <s v="No"/>
    <s v="Sun"/>
    <x v="0"/>
    <n v="4"/>
    <n v="31.71"/>
    <n v="4.5"/>
  </r>
  <r>
    <x v="0"/>
    <s v="Yes"/>
    <s v="Sat"/>
    <x v="0"/>
    <n v="2"/>
    <n v="10.59"/>
    <n v="1.61"/>
  </r>
  <r>
    <x v="0"/>
    <s v="Yes"/>
    <s v="Sat"/>
    <x v="0"/>
    <n v="2"/>
    <n v="10.63"/>
    <n v="2"/>
  </r>
  <r>
    <x v="1"/>
    <s v="Yes"/>
    <s v="Sat"/>
    <x v="0"/>
    <n v="3"/>
    <n v="50.81"/>
    <n v="10"/>
  </r>
  <r>
    <x v="1"/>
    <s v="Yes"/>
    <s v="Sat"/>
    <x v="0"/>
    <n v="2"/>
    <n v="15.81"/>
    <n v="3.16"/>
  </r>
  <r>
    <x v="1"/>
    <s v="Yes"/>
    <s v="Sun"/>
    <x v="0"/>
    <n v="2"/>
    <n v="7.25"/>
    <n v="5.15"/>
  </r>
  <r>
    <x v="1"/>
    <s v="Yes"/>
    <s v="Sun"/>
    <x v="0"/>
    <n v="2"/>
    <n v="31.85"/>
    <n v="3.18"/>
  </r>
  <r>
    <x v="1"/>
    <s v="Yes"/>
    <s v="Sun"/>
    <x v="0"/>
    <n v="2"/>
    <n v="16.82"/>
    <n v="4"/>
  </r>
  <r>
    <x v="1"/>
    <s v="Yes"/>
    <s v="Sun"/>
    <x v="0"/>
    <n v="2"/>
    <n v="32.9"/>
    <n v="3.11"/>
  </r>
  <r>
    <x v="1"/>
    <s v="Yes"/>
    <s v="Sun"/>
    <x v="0"/>
    <n v="2"/>
    <n v="17.89"/>
    <n v="2"/>
  </r>
  <r>
    <x v="1"/>
    <s v="Yes"/>
    <s v="Sun"/>
    <x v="0"/>
    <n v="2"/>
    <n v="14.48"/>
    <n v="2"/>
  </r>
  <r>
    <x v="0"/>
    <s v="Yes"/>
    <s v="Sun"/>
    <x v="0"/>
    <n v="2"/>
    <n v="9.6"/>
    <n v="4"/>
  </r>
  <r>
    <x v="1"/>
    <s v="Yes"/>
    <s v="Sun"/>
    <x v="0"/>
    <n v="2"/>
    <n v="34.630000000000003"/>
    <n v="3.55"/>
  </r>
  <r>
    <x v="1"/>
    <s v="Yes"/>
    <s v="Sun"/>
    <x v="0"/>
    <n v="4"/>
    <n v="34.65"/>
    <n v="3.68"/>
  </r>
  <r>
    <x v="1"/>
    <s v="Yes"/>
    <s v="Sun"/>
    <x v="0"/>
    <n v="2"/>
    <n v="23.33"/>
    <n v="5.65"/>
  </r>
  <r>
    <x v="1"/>
    <s v="Yes"/>
    <s v="Sun"/>
    <x v="0"/>
    <n v="3"/>
    <n v="45.35"/>
    <n v="3.5"/>
  </r>
  <r>
    <x v="1"/>
    <s v="Yes"/>
    <s v="Sun"/>
    <x v="0"/>
    <n v="4"/>
    <n v="23.17"/>
    <n v="6.5"/>
  </r>
  <r>
    <x v="1"/>
    <s v="Yes"/>
    <s v="Sun"/>
    <x v="0"/>
    <n v="2"/>
    <n v="40.549999999999997"/>
    <n v="3"/>
  </r>
  <r>
    <x v="1"/>
    <s v="No"/>
    <s v="Sun"/>
    <x v="0"/>
    <n v="5"/>
    <n v="20.69"/>
    <n v="5"/>
  </r>
  <r>
    <x v="0"/>
    <s v="Yes"/>
    <s v="Sun"/>
    <x v="0"/>
    <n v="3"/>
    <n v="20.9"/>
    <n v="3.5"/>
  </r>
  <r>
    <x v="1"/>
    <s v="Yes"/>
    <s v="Sun"/>
    <x v="0"/>
    <n v="5"/>
    <n v="30.46"/>
    <n v="2"/>
  </r>
  <r>
    <x v="0"/>
    <s v="Yes"/>
    <s v="Sun"/>
    <x v="0"/>
    <n v="3"/>
    <n v="18.149999999999999"/>
    <n v="3.5"/>
  </r>
  <r>
    <x v="1"/>
    <s v="Yes"/>
    <s v="Sun"/>
    <x v="0"/>
    <n v="3"/>
    <n v="23.1"/>
    <n v="4"/>
  </r>
  <r>
    <x v="1"/>
    <s v="Yes"/>
    <s v="Sun"/>
    <x v="0"/>
    <n v="2"/>
    <n v="15.69"/>
    <n v="1.5"/>
  </r>
  <r>
    <x v="0"/>
    <s v="Yes"/>
    <s v="Thur"/>
    <x v="1"/>
    <n v="2"/>
    <n v="19.809999999999999"/>
    <n v="4.1900000000000004"/>
  </r>
  <r>
    <x v="1"/>
    <s v="Yes"/>
    <s v="Thur"/>
    <x v="1"/>
    <n v="2"/>
    <n v="28.44"/>
    <n v="2.56"/>
  </r>
  <r>
    <x v="1"/>
    <s v="Yes"/>
    <s v="Thur"/>
    <x v="1"/>
    <n v="2"/>
    <n v="15.48"/>
    <n v="2.02"/>
  </r>
  <r>
    <x v="1"/>
    <s v="Yes"/>
    <s v="Thur"/>
    <x v="1"/>
    <n v="2"/>
    <n v="16.579999999999998"/>
    <n v="4"/>
  </r>
  <r>
    <x v="1"/>
    <s v="No"/>
    <s v="Thur"/>
    <x v="1"/>
    <n v="2"/>
    <n v="7.56"/>
    <n v="1.44"/>
  </r>
  <r>
    <x v="1"/>
    <s v="Yes"/>
    <s v="Thur"/>
    <x v="1"/>
    <n v="2"/>
    <n v="10.34"/>
    <n v="2"/>
  </r>
  <r>
    <x v="0"/>
    <s v="Yes"/>
    <s v="Thur"/>
    <x v="1"/>
    <n v="4"/>
    <n v="43.11"/>
    <n v="5"/>
  </r>
  <r>
    <x v="0"/>
    <s v="Yes"/>
    <s v="Thur"/>
    <x v="1"/>
    <n v="2"/>
    <n v="13"/>
    <n v="2"/>
  </r>
  <r>
    <x v="1"/>
    <s v="Yes"/>
    <s v="Thur"/>
    <x v="1"/>
    <n v="2"/>
    <n v="13.51"/>
    <n v="2"/>
  </r>
  <r>
    <x v="1"/>
    <s v="Yes"/>
    <s v="Thur"/>
    <x v="1"/>
    <n v="3"/>
    <n v="18.71"/>
    <n v="4"/>
  </r>
  <r>
    <x v="0"/>
    <s v="Yes"/>
    <s v="Thur"/>
    <x v="1"/>
    <n v="2"/>
    <n v="12.74"/>
    <n v="2.0099999999999998"/>
  </r>
  <r>
    <x v="0"/>
    <s v="Yes"/>
    <s v="Thur"/>
    <x v="1"/>
    <n v="2"/>
    <n v="16.399999999999999"/>
    <n v="2.5"/>
  </r>
  <r>
    <x v="1"/>
    <s v="Yes"/>
    <s v="Thur"/>
    <x v="1"/>
    <n v="4"/>
    <n v="20.53"/>
    <n v="4"/>
  </r>
  <r>
    <x v="0"/>
    <s v="Yes"/>
    <s v="Thur"/>
    <x v="1"/>
    <n v="3"/>
    <n v="16.47"/>
    <n v="3.23"/>
  </r>
  <r>
    <x v="1"/>
    <s v="Yes"/>
    <s v="Sat"/>
    <x v="0"/>
    <n v="3"/>
    <n v="26.59"/>
    <n v="3.41"/>
  </r>
  <r>
    <x v="1"/>
    <s v="Yes"/>
    <s v="Sat"/>
    <x v="0"/>
    <n v="4"/>
    <n v="38.729999999999997"/>
    <n v="3"/>
  </r>
  <r>
    <x v="1"/>
    <s v="Yes"/>
    <s v="Sat"/>
    <x v="0"/>
    <n v="2"/>
    <n v="24.27"/>
    <n v="2.0299999999999998"/>
  </r>
  <r>
    <x v="0"/>
    <s v="Yes"/>
    <s v="Sat"/>
    <x v="0"/>
    <n v="2"/>
    <n v="12.76"/>
    <n v="2.23"/>
  </r>
  <r>
    <x v="1"/>
    <s v="Yes"/>
    <s v="Sat"/>
    <x v="0"/>
    <n v="3"/>
    <n v="30.06"/>
    <n v="2"/>
  </r>
  <r>
    <x v="1"/>
    <s v="Yes"/>
    <s v="Sat"/>
    <x v="0"/>
    <n v="4"/>
    <n v="25.89"/>
    <n v="5.16"/>
  </r>
  <r>
    <x v="1"/>
    <s v="No"/>
    <s v="Sat"/>
    <x v="0"/>
    <n v="4"/>
    <n v="48.33"/>
    <n v="9"/>
  </r>
  <r>
    <x v="0"/>
    <s v="Yes"/>
    <s v="Sat"/>
    <x v="0"/>
    <n v="2"/>
    <n v="13.27"/>
    <n v="2.5"/>
  </r>
  <r>
    <x v="0"/>
    <s v="Yes"/>
    <s v="Sat"/>
    <x v="0"/>
    <n v="3"/>
    <n v="28.17"/>
    <n v="6.5"/>
  </r>
  <r>
    <x v="0"/>
    <s v="Yes"/>
    <s v="Sat"/>
    <x v="0"/>
    <n v="2"/>
    <n v="12.9"/>
    <n v="1.1000000000000001"/>
  </r>
  <r>
    <x v="1"/>
    <s v="Yes"/>
    <s v="Sat"/>
    <x v="0"/>
    <n v="5"/>
    <n v="28.15"/>
    <n v="3"/>
  </r>
  <r>
    <x v="1"/>
    <s v="Yes"/>
    <s v="Sat"/>
    <x v="0"/>
    <n v="2"/>
    <n v="11.59"/>
    <n v="1.5"/>
  </r>
  <r>
    <x v="1"/>
    <s v="Yes"/>
    <s v="Sat"/>
    <x v="0"/>
    <n v="2"/>
    <n v="7.74"/>
    <n v="1.44"/>
  </r>
  <r>
    <x v="0"/>
    <s v="Yes"/>
    <s v="Sat"/>
    <x v="0"/>
    <n v="4"/>
    <n v="30.14"/>
    <n v="3.09"/>
  </r>
  <r>
    <x v="1"/>
    <s v="Yes"/>
    <s v="Fri"/>
    <x v="1"/>
    <n v="2"/>
    <n v="12.16"/>
    <n v="2.2000000000000002"/>
  </r>
  <r>
    <x v="0"/>
    <s v="Yes"/>
    <s v="Fri"/>
    <x v="1"/>
    <n v="2"/>
    <n v="13.42"/>
    <n v="3.48"/>
  </r>
  <r>
    <x v="1"/>
    <s v="Yes"/>
    <s v="Fri"/>
    <x v="1"/>
    <n v="1"/>
    <n v="8.58"/>
    <n v="1.92"/>
  </r>
  <r>
    <x v="0"/>
    <s v="No"/>
    <s v="Fri"/>
    <x v="1"/>
    <n v="3"/>
    <n v="15.98"/>
    <n v="3"/>
  </r>
  <r>
    <x v="1"/>
    <s v="Yes"/>
    <s v="Fri"/>
    <x v="1"/>
    <n v="2"/>
    <n v="13.42"/>
    <n v="1.58"/>
  </r>
  <r>
    <x v="0"/>
    <s v="Yes"/>
    <s v="Fri"/>
    <x v="1"/>
    <n v="2"/>
    <n v="16.27"/>
    <n v="2.5"/>
  </r>
  <r>
    <x v="0"/>
    <s v="Yes"/>
    <s v="Fri"/>
    <x v="1"/>
    <n v="2"/>
    <n v="10.09"/>
    <n v="2"/>
  </r>
  <r>
    <x v="1"/>
    <s v="No"/>
    <s v="Sat"/>
    <x v="0"/>
    <n v="4"/>
    <n v="20.45"/>
    <n v="3"/>
  </r>
  <r>
    <x v="1"/>
    <s v="No"/>
    <s v="Sat"/>
    <x v="0"/>
    <n v="2"/>
    <n v="13.28"/>
    <n v="2.72"/>
  </r>
  <r>
    <x v="0"/>
    <s v="Yes"/>
    <s v="Sat"/>
    <x v="0"/>
    <n v="2"/>
    <n v="22.12"/>
    <n v="2.88"/>
  </r>
  <r>
    <x v="1"/>
    <s v="Yes"/>
    <s v="Sat"/>
    <x v="0"/>
    <n v="4"/>
    <n v="24.01"/>
    <n v="2"/>
  </r>
  <r>
    <x v="1"/>
    <s v="Yes"/>
    <s v="Sat"/>
    <x v="0"/>
    <n v="3"/>
    <n v="15.69"/>
    <n v="3"/>
  </r>
  <r>
    <x v="1"/>
    <s v="No"/>
    <s v="Sat"/>
    <x v="0"/>
    <n v="2"/>
    <n v="11.61"/>
    <n v="3.39"/>
  </r>
  <r>
    <x v="1"/>
    <s v="No"/>
    <s v="Sat"/>
    <x v="0"/>
    <n v="2"/>
    <n v="10.77"/>
    <n v="1.47"/>
  </r>
  <r>
    <x v="1"/>
    <s v="Yes"/>
    <s v="Sat"/>
    <x v="0"/>
    <n v="2"/>
    <n v="15.53"/>
    <n v="3"/>
  </r>
  <r>
    <x v="1"/>
    <s v="No"/>
    <s v="Sat"/>
    <x v="0"/>
    <n v="2"/>
    <n v="10.07"/>
    <n v="1.25"/>
  </r>
  <r>
    <x v="1"/>
    <s v="Yes"/>
    <s v="Sat"/>
    <x v="0"/>
    <n v="2"/>
    <n v="12.6"/>
    <n v="1"/>
  </r>
  <r>
    <x v="1"/>
    <s v="Yes"/>
    <s v="Sat"/>
    <x v="0"/>
    <n v="2"/>
    <n v="32.83"/>
    <n v="1.17"/>
  </r>
  <r>
    <x v="0"/>
    <s v="No"/>
    <s v="Sat"/>
    <x v="0"/>
    <n v="3"/>
    <n v="35.83"/>
    <n v="4.67"/>
  </r>
  <r>
    <x v="1"/>
    <s v="No"/>
    <s v="Sat"/>
    <x v="0"/>
    <n v="3"/>
    <n v="29.03"/>
    <n v="5.92"/>
  </r>
  <r>
    <x v="0"/>
    <s v="Yes"/>
    <s v="Sat"/>
    <x v="0"/>
    <n v="2"/>
    <n v="27.18"/>
    <n v="2"/>
  </r>
  <r>
    <x v="1"/>
    <s v="Yes"/>
    <s v="Sat"/>
    <x v="0"/>
    <n v="2"/>
    <n v="22.67"/>
    <n v="2"/>
  </r>
  <r>
    <x v="1"/>
    <s v="No"/>
    <s v="Sat"/>
    <x v="0"/>
    <n v="2"/>
    <n v="17.82"/>
    <n v="1.75"/>
  </r>
  <r>
    <x v="0"/>
    <s v="No"/>
    <s v="Thur"/>
    <x v="0"/>
    <n v="2"/>
    <n v="18.78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623D9-CA34-45F1-A93F-2F569B23015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1:D25" firstHeaderRow="1" firstDataRow="2" firstDataCol="1"/>
  <pivotFields count="7">
    <pivotField axis="axisRow" showAll="0">
      <items count="3"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ip" fld="6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56909-B63E-4FDF-919E-B4DD77658D5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7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ip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7E8F8D-6ADA-48AB-B789-F1B74276A64B}" name="Table1" displayName="Table1" ref="A1:F244" totalsRowShown="0" headerRowDxfId="18" headerRowBorderDxfId="17" tableBorderDxfId="16" totalsRowBorderDxfId="15">
  <tableColumns count="6">
    <tableColumn id="1" xr3:uid="{2376ED9A-F2B5-40E0-8947-52ED9F3532C2}" name="size" dataDxfId="14"/>
    <tableColumn id="2" xr3:uid="{627ACF03-CEA5-456D-B5E1-5439C23DDC4F}" name="total_bill" dataDxfId="13"/>
    <tableColumn id="3" xr3:uid="{EB22CF18-EA18-467A-9557-7B8A717CEE10}" name="Actual tip" dataDxfId="12"/>
    <tableColumn id="4" xr3:uid="{9DAF8288-C5A0-4954-92FD-2782CE5C7586}" name="Predicted Tip" dataDxfId="11">
      <calculatedColumnFormula>$J$3+($J$4*Table1[[#This Row],[size]])+($J$5*Table1[[#This Row],[total_bill]])</calculatedColumnFormula>
    </tableColumn>
    <tableColumn id="5" xr3:uid="{89B9A62A-DBE0-4B9A-9595-0E7E8BE93C10}" name="Error" dataDxfId="10">
      <calculatedColumnFormula>Table1[[#This Row],[Actual tip]]-Table1[[#This Row],[Predicted Tip]]</calculatedColumnFormula>
    </tableColumn>
    <tableColumn id="6" xr3:uid="{EED3C7E5-8631-4708-ACF1-D9C02BEE48BE}" name="Sq.error" dataDxfId="9">
      <calculatedColumnFormula>Table1[[#This Row],[Error]]^2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C0FC9F-1DAF-4B95-9572-3849A7349E69}" name="Table2" displayName="Table2" ref="I2:J5" totalsRowShown="0" headerRowDxfId="8" headerRowBorderDxfId="7" tableBorderDxfId="6" totalsRowBorderDxfId="5" headerRowCellStyle="20% - Accent6">
  <tableColumns count="2">
    <tableColumn id="1" xr3:uid="{5FDBA0E6-21F7-41F8-A9EC-EE6C02FC4B01}" name="Equation parameters" dataDxfId="4"/>
    <tableColumn id="2" xr3:uid="{A653A9A1-EEB9-423F-AD9B-2EEB89849DB0}" name="Values" dataDxfId="3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dimension ref="A1:K244"/>
  <sheetViews>
    <sheetView tabSelected="1" workbookViewId="0">
      <selection activeCell="C10" sqref="C10"/>
    </sheetView>
  </sheetViews>
  <sheetFormatPr defaultColWidth="13.453125" defaultRowHeight="14.5" x14ac:dyDescent="0.35"/>
  <cols>
    <col min="11" max="11" width="46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5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16.989999999999998</v>
      </c>
      <c r="G2">
        <v>1.01</v>
      </c>
    </row>
    <row r="3" spans="1:11" x14ac:dyDescent="0.35">
      <c r="A3" t="s">
        <v>11</v>
      </c>
      <c r="B3" t="s">
        <v>8</v>
      </c>
      <c r="C3" t="s">
        <v>9</v>
      </c>
      <c r="D3" t="s">
        <v>10</v>
      </c>
      <c r="E3">
        <v>3</v>
      </c>
      <c r="F3">
        <v>10.34</v>
      </c>
      <c r="G3">
        <v>1.66</v>
      </c>
      <c r="J3" s="1" t="s">
        <v>12</v>
      </c>
      <c r="K3" s="1" t="s">
        <v>13</v>
      </c>
    </row>
    <row r="4" spans="1:11" x14ac:dyDescent="0.35">
      <c r="A4" t="s">
        <v>11</v>
      </c>
      <c r="B4" t="s">
        <v>8</v>
      </c>
      <c r="C4" t="s">
        <v>9</v>
      </c>
      <c r="D4" t="s">
        <v>10</v>
      </c>
      <c r="E4">
        <v>3</v>
      </c>
      <c r="F4">
        <v>21.01</v>
      </c>
      <c r="G4">
        <v>3.5</v>
      </c>
      <c r="J4" s="1" t="s">
        <v>1</v>
      </c>
      <c r="K4" s="1" t="s">
        <v>14</v>
      </c>
    </row>
    <row r="5" spans="1:11" x14ac:dyDescent="0.35">
      <c r="A5" t="s">
        <v>11</v>
      </c>
      <c r="B5" t="s">
        <v>8</v>
      </c>
      <c r="C5" t="s">
        <v>9</v>
      </c>
      <c r="D5" t="s">
        <v>10</v>
      </c>
      <c r="E5">
        <v>2</v>
      </c>
      <c r="F5">
        <v>23.68</v>
      </c>
      <c r="G5">
        <v>3.31</v>
      </c>
      <c r="J5" s="1" t="s">
        <v>2</v>
      </c>
      <c r="K5" s="1" t="s">
        <v>15</v>
      </c>
    </row>
    <row r="6" spans="1:11" x14ac:dyDescent="0.35">
      <c r="A6" t="s">
        <v>7</v>
      </c>
      <c r="B6" t="s">
        <v>8</v>
      </c>
      <c r="C6" t="s">
        <v>9</v>
      </c>
      <c r="D6" t="s">
        <v>10</v>
      </c>
      <c r="E6">
        <v>4</v>
      </c>
      <c r="F6">
        <v>24.59</v>
      </c>
      <c r="G6">
        <v>3.61</v>
      </c>
      <c r="J6" s="1" t="s">
        <v>3</v>
      </c>
      <c r="K6" s="1" t="s">
        <v>16</v>
      </c>
    </row>
    <row r="7" spans="1:11" x14ac:dyDescent="0.35">
      <c r="A7" t="s">
        <v>11</v>
      </c>
      <c r="B7" t="s">
        <v>8</v>
      </c>
      <c r="C7" t="s">
        <v>9</v>
      </c>
      <c r="D7" t="s">
        <v>10</v>
      </c>
      <c r="E7">
        <v>4</v>
      </c>
      <c r="F7">
        <v>25.29</v>
      </c>
      <c r="G7">
        <v>4.71</v>
      </c>
      <c r="J7" s="1" t="s">
        <v>4</v>
      </c>
      <c r="K7" s="1" t="s">
        <v>17</v>
      </c>
    </row>
    <row r="8" spans="1:11" x14ac:dyDescent="0.35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8.77</v>
      </c>
      <c r="G8">
        <v>2</v>
      </c>
      <c r="J8" s="1" t="s">
        <v>18</v>
      </c>
      <c r="K8" s="1" t="s">
        <v>19</v>
      </c>
    </row>
    <row r="9" spans="1:11" x14ac:dyDescent="0.35">
      <c r="A9" t="s">
        <v>11</v>
      </c>
      <c r="B9" t="s">
        <v>8</v>
      </c>
      <c r="C9" t="s">
        <v>9</v>
      </c>
      <c r="D9" t="s">
        <v>10</v>
      </c>
      <c r="E9">
        <v>4</v>
      </c>
      <c r="F9">
        <v>26.88</v>
      </c>
      <c r="G9">
        <v>3.12</v>
      </c>
      <c r="J9" s="1" t="s">
        <v>6</v>
      </c>
      <c r="K9" s="1" t="s">
        <v>20</v>
      </c>
    </row>
    <row r="10" spans="1:11" x14ac:dyDescent="0.35">
      <c r="A10" t="s">
        <v>11</v>
      </c>
      <c r="B10" t="s">
        <v>8</v>
      </c>
      <c r="C10" t="s">
        <v>9</v>
      </c>
      <c r="D10" t="s">
        <v>10</v>
      </c>
      <c r="E10">
        <v>2</v>
      </c>
      <c r="F10">
        <v>15.04</v>
      </c>
      <c r="G10">
        <v>1.96</v>
      </c>
    </row>
    <row r="11" spans="1:11" x14ac:dyDescent="0.35">
      <c r="A11" t="s">
        <v>11</v>
      </c>
      <c r="B11" t="s">
        <v>8</v>
      </c>
      <c r="C11" t="s">
        <v>9</v>
      </c>
      <c r="D11" t="s">
        <v>10</v>
      </c>
      <c r="E11">
        <v>2</v>
      </c>
      <c r="F11">
        <v>14.78</v>
      </c>
      <c r="G11">
        <v>3.23</v>
      </c>
    </row>
    <row r="12" spans="1:11" x14ac:dyDescent="0.35">
      <c r="A12" t="s">
        <v>11</v>
      </c>
      <c r="B12" t="s">
        <v>8</v>
      </c>
      <c r="C12" t="s">
        <v>9</v>
      </c>
      <c r="D12" t="s">
        <v>10</v>
      </c>
      <c r="E12">
        <v>2</v>
      </c>
      <c r="F12">
        <v>10.27</v>
      </c>
      <c r="G12">
        <v>1.71</v>
      </c>
    </row>
    <row r="13" spans="1:11" x14ac:dyDescent="0.35">
      <c r="A13" t="s">
        <v>7</v>
      </c>
      <c r="B13" t="s">
        <v>8</v>
      </c>
      <c r="C13" t="s">
        <v>9</v>
      </c>
      <c r="D13" t="s">
        <v>10</v>
      </c>
      <c r="E13">
        <v>4</v>
      </c>
      <c r="F13">
        <v>35.26</v>
      </c>
      <c r="G13">
        <v>5</v>
      </c>
    </row>
    <row r="14" spans="1:11" x14ac:dyDescent="0.35">
      <c r="A14" t="s">
        <v>11</v>
      </c>
      <c r="B14" t="s">
        <v>8</v>
      </c>
      <c r="C14" t="s">
        <v>9</v>
      </c>
      <c r="D14" t="s">
        <v>10</v>
      </c>
      <c r="E14">
        <v>2</v>
      </c>
      <c r="F14">
        <v>15.42</v>
      </c>
      <c r="G14">
        <v>1.57</v>
      </c>
    </row>
    <row r="15" spans="1:11" x14ac:dyDescent="0.35">
      <c r="A15" t="s">
        <v>11</v>
      </c>
      <c r="B15" t="s">
        <v>8</v>
      </c>
      <c r="C15" t="s">
        <v>9</v>
      </c>
      <c r="D15" t="s">
        <v>10</v>
      </c>
      <c r="E15">
        <v>4</v>
      </c>
      <c r="F15">
        <v>18.43</v>
      </c>
      <c r="G15">
        <v>3</v>
      </c>
    </row>
    <row r="16" spans="1:11" x14ac:dyDescent="0.35">
      <c r="A16" t="s">
        <v>7</v>
      </c>
      <c r="B16" t="s">
        <v>8</v>
      </c>
      <c r="C16" t="s">
        <v>9</v>
      </c>
      <c r="D16" t="s">
        <v>10</v>
      </c>
      <c r="E16">
        <v>2</v>
      </c>
      <c r="F16">
        <v>14.83</v>
      </c>
      <c r="G16">
        <v>3.02</v>
      </c>
    </row>
    <row r="17" spans="1:7" x14ac:dyDescent="0.35">
      <c r="A17" t="s">
        <v>11</v>
      </c>
      <c r="B17" t="s">
        <v>8</v>
      </c>
      <c r="C17" t="s">
        <v>9</v>
      </c>
      <c r="D17" t="s">
        <v>10</v>
      </c>
      <c r="E17">
        <v>2</v>
      </c>
      <c r="F17">
        <v>21.58</v>
      </c>
      <c r="G17">
        <v>3.92</v>
      </c>
    </row>
    <row r="18" spans="1:7" x14ac:dyDescent="0.35">
      <c r="A18" t="s">
        <v>7</v>
      </c>
      <c r="B18" t="s">
        <v>8</v>
      </c>
      <c r="C18" t="s">
        <v>9</v>
      </c>
      <c r="D18" t="s">
        <v>10</v>
      </c>
      <c r="E18">
        <v>3</v>
      </c>
      <c r="F18">
        <v>10.33</v>
      </c>
      <c r="G18">
        <v>1.67</v>
      </c>
    </row>
    <row r="19" spans="1:7" x14ac:dyDescent="0.35">
      <c r="A19" t="s">
        <v>11</v>
      </c>
      <c r="B19" t="s">
        <v>8</v>
      </c>
      <c r="C19" t="s">
        <v>9</v>
      </c>
      <c r="D19" t="s">
        <v>10</v>
      </c>
      <c r="E19">
        <v>3</v>
      </c>
      <c r="F19">
        <v>16.29</v>
      </c>
      <c r="G19">
        <v>3.71</v>
      </c>
    </row>
    <row r="20" spans="1:7" x14ac:dyDescent="0.35">
      <c r="A20" t="s">
        <v>7</v>
      </c>
      <c r="B20" t="s">
        <v>8</v>
      </c>
      <c r="C20" t="s">
        <v>9</v>
      </c>
      <c r="D20" t="s">
        <v>10</v>
      </c>
      <c r="E20">
        <v>3</v>
      </c>
      <c r="F20">
        <v>16.97</v>
      </c>
      <c r="G20">
        <v>3.5</v>
      </c>
    </row>
    <row r="21" spans="1:7" x14ac:dyDescent="0.35">
      <c r="A21" t="s">
        <v>11</v>
      </c>
      <c r="B21" t="s">
        <v>8</v>
      </c>
      <c r="C21" t="s">
        <v>21</v>
      </c>
      <c r="D21" t="s">
        <v>10</v>
      </c>
      <c r="E21">
        <v>3</v>
      </c>
      <c r="F21">
        <v>20.65</v>
      </c>
      <c r="G21">
        <v>3.35</v>
      </c>
    </row>
    <row r="22" spans="1:7" x14ac:dyDescent="0.35">
      <c r="A22" t="s">
        <v>11</v>
      </c>
      <c r="B22" t="s">
        <v>8</v>
      </c>
      <c r="C22" t="s">
        <v>21</v>
      </c>
      <c r="D22" t="s">
        <v>10</v>
      </c>
      <c r="E22">
        <v>2</v>
      </c>
      <c r="F22">
        <v>17.920000000000002</v>
      </c>
      <c r="G22">
        <v>4.08</v>
      </c>
    </row>
    <row r="23" spans="1:7" x14ac:dyDescent="0.35">
      <c r="A23" t="s">
        <v>7</v>
      </c>
      <c r="B23" t="s">
        <v>8</v>
      </c>
      <c r="C23" t="s">
        <v>21</v>
      </c>
      <c r="D23" t="s">
        <v>10</v>
      </c>
      <c r="E23">
        <v>2</v>
      </c>
      <c r="F23">
        <v>20.29</v>
      </c>
      <c r="G23">
        <v>2.75</v>
      </c>
    </row>
    <row r="24" spans="1:7" x14ac:dyDescent="0.35">
      <c r="A24" t="s">
        <v>7</v>
      </c>
      <c r="B24" t="s">
        <v>8</v>
      </c>
      <c r="C24" t="s">
        <v>21</v>
      </c>
      <c r="D24" t="s">
        <v>10</v>
      </c>
      <c r="E24">
        <v>2</v>
      </c>
      <c r="F24">
        <v>15.77</v>
      </c>
      <c r="G24">
        <v>2.23</v>
      </c>
    </row>
    <row r="25" spans="1:7" x14ac:dyDescent="0.35">
      <c r="A25" t="s">
        <v>11</v>
      </c>
      <c r="B25" t="s">
        <v>8</v>
      </c>
      <c r="C25" t="s">
        <v>21</v>
      </c>
      <c r="D25" t="s">
        <v>10</v>
      </c>
      <c r="E25">
        <v>4</v>
      </c>
      <c r="F25">
        <v>39.42</v>
      </c>
      <c r="G25">
        <v>7.58</v>
      </c>
    </row>
    <row r="26" spans="1:7" x14ac:dyDescent="0.35">
      <c r="A26" t="s">
        <v>11</v>
      </c>
      <c r="B26" t="s">
        <v>8</v>
      </c>
      <c r="C26" t="s">
        <v>21</v>
      </c>
      <c r="D26" t="s">
        <v>10</v>
      </c>
      <c r="E26">
        <v>2</v>
      </c>
      <c r="F26">
        <v>19.82</v>
      </c>
      <c r="G26">
        <v>3.18</v>
      </c>
    </row>
    <row r="27" spans="1:7" x14ac:dyDescent="0.35">
      <c r="A27" t="s">
        <v>11</v>
      </c>
      <c r="B27" t="s">
        <v>8</v>
      </c>
      <c r="C27" t="s">
        <v>21</v>
      </c>
      <c r="D27" t="s">
        <v>10</v>
      </c>
      <c r="E27">
        <v>4</v>
      </c>
      <c r="F27">
        <v>17.809999999999999</v>
      </c>
      <c r="G27">
        <v>2.34</v>
      </c>
    </row>
    <row r="28" spans="1:7" x14ac:dyDescent="0.35">
      <c r="A28" t="s">
        <v>11</v>
      </c>
      <c r="B28" t="s">
        <v>8</v>
      </c>
      <c r="C28" t="s">
        <v>21</v>
      </c>
      <c r="D28" t="s">
        <v>10</v>
      </c>
      <c r="E28">
        <v>2</v>
      </c>
      <c r="F28">
        <v>13.37</v>
      </c>
      <c r="G28">
        <v>2</v>
      </c>
    </row>
    <row r="29" spans="1:7" x14ac:dyDescent="0.35">
      <c r="A29" t="s">
        <v>11</v>
      </c>
      <c r="B29" t="s">
        <v>8</v>
      </c>
      <c r="C29" t="s">
        <v>21</v>
      </c>
      <c r="D29" t="s">
        <v>10</v>
      </c>
      <c r="E29">
        <v>2</v>
      </c>
      <c r="F29">
        <v>12.69</v>
      </c>
      <c r="G29">
        <v>2</v>
      </c>
    </row>
    <row r="30" spans="1:7" x14ac:dyDescent="0.35">
      <c r="A30" t="s">
        <v>11</v>
      </c>
      <c r="B30" t="s">
        <v>8</v>
      </c>
      <c r="C30" t="s">
        <v>21</v>
      </c>
      <c r="D30" t="s">
        <v>10</v>
      </c>
      <c r="E30">
        <v>2</v>
      </c>
      <c r="F30">
        <v>21.7</v>
      </c>
      <c r="G30">
        <v>4.3</v>
      </c>
    </row>
    <row r="31" spans="1:7" x14ac:dyDescent="0.35">
      <c r="A31" t="s">
        <v>7</v>
      </c>
      <c r="B31" t="s">
        <v>8</v>
      </c>
      <c r="C31" t="s">
        <v>21</v>
      </c>
      <c r="D31" t="s">
        <v>10</v>
      </c>
      <c r="E31">
        <v>2</v>
      </c>
      <c r="F31">
        <v>19.649999999999999</v>
      </c>
      <c r="G31">
        <v>3</v>
      </c>
    </row>
    <row r="32" spans="1:7" x14ac:dyDescent="0.35">
      <c r="A32" t="s">
        <v>11</v>
      </c>
      <c r="B32" t="s">
        <v>8</v>
      </c>
      <c r="C32" t="s">
        <v>21</v>
      </c>
      <c r="D32" t="s">
        <v>10</v>
      </c>
      <c r="E32">
        <v>2</v>
      </c>
      <c r="F32">
        <v>9.5500000000000007</v>
      </c>
      <c r="G32">
        <v>1.45</v>
      </c>
    </row>
    <row r="33" spans="1:7" x14ac:dyDescent="0.35">
      <c r="A33" t="s">
        <v>11</v>
      </c>
      <c r="B33" t="s">
        <v>8</v>
      </c>
      <c r="C33" t="s">
        <v>21</v>
      </c>
      <c r="D33" t="s">
        <v>10</v>
      </c>
      <c r="E33">
        <v>4</v>
      </c>
      <c r="F33">
        <v>18.350000000000001</v>
      </c>
      <c r="G33">
        <v>2.5</v>
      </c>
    </row>
    <row r="34" spans="1:7" x14ac:dyDescent="0.35">
      <c r="A34" t="s">
        <v>7</v>
      </c>
      <c r="B34" t="s">
        <v>8</v>
      </c>
      <c r="C34" t="s">
        <v>21</v>
      </c>
      <c r="D34" t="s">
        <v>10</v>
      </c>
      <c r="E34">
        <v>2</v>
      </c>
      <c r="F34">
        <v>15.06</v>
      </c>
      <c r="G34">
        <v>3</v>
      </c>
    </row>
    <row r="35" spans="1:7" x14ac:dyDescent="0.35">
      <c r="A35" t="s">
        <v>7</v>
      </c>
      <c r="B35" t="s">
        <v>8</v>
      </c>
      <c r="C35" t="s">
        <v>21</v>
      </c>
      <c r="D35" t="s">
        <v>10</v>
      </c>
      <c r="E35">
        <v>4</v>
      </c>
      <c r="F35">
        <v>20.69</v>
      </c>
      <c r="G35">
        <v>2.4500000000000002</v>
      </c>
    </row>
    <row r="36" spans="1:7" x14ac:dyDescent="0.35">
      <c r="A36" t="s">
        <v>11</v>
      </c>
      <c r="B36" t="s">
        <v>8</v>
      </c>
      <c r="C36" t="s">
        <v>21</v>
      </c>
      <c r="D36" t="s">
        <v>10</v>
      </c>
      <c r="E36">
        <v>2</v>
      </c>
      <c r="F36">
        <v>17.78</v>
      </c>
      <c r="G36">
        <v>3.27</v>
      </c>
    </row>
    <row r="37" spans="1:7" x14ac:dyDescent="0.35">
      <c r="A37" t="s">
        <v>11</v>
      </c>
      <c r="B37" t="s">
        <v>8</v>
      </c>
      <c r="C37" t="s">
        <v>21</v>
      </c>
      <c r="D37" t="s">
        <v>10</v>
      </c>
      <c r="E37">
        <v>3</v>
      </c>
      <c r="F37">
        <v>24.06</v>
      </c>
      <c r="G37">
        <v>3.6</v>
      </c>
    </row>
    <row r="38" spans="1:7" x14ac:dyDescent="0.35">
      <c r="A38" t="s">
        <v>11</v>
      </c>
      <c r="B38" t="s">
        <v>8</v>
      </c>
      <c r="C38" t="s">
        <v>21</v>
      </c>
      <c r="D38" t="s">
        <v>10</v>
      </c>
      <c r="E38">
        <v>3</v>
      </c>
      <c r="F38">
        <v>16.309999999999999</v>
      </c>
      <c r="G38">
        <v>2</v>
      </c>
    </row>
    <row r="39" spans="1:7" x14ac:dyDescent="0.35">
      <c r="A39" t="s">
        <v>7</v>
      </c>
      <c r="B39" t="s">
        <v>8</v>
      </c>
      <c r="C39" t="s">
        <v>21</v>
      </c>
      <c r="D39" t="s">
        <v>10</v>
      </c>
      <c r="E39">
        <v>3</v>
      </c>
      <c r="F39">
        <v>16.93</v>
      </c>
      <c r="G39">
        <v>3.07</v>
      </c>
    </row>
    <row r="40" spans="1:7" x14ac:dyDescent="0.35">
      <c r="A40" t="s">
        <v>11</v>
      </c>
      <c r="B40" t="s">
        <v>8</v>
      </c>
      <c r="C40" t="s">
        <v>21</v>
      </c>
      <c r="D40" t="s">
        <v>10</v>
      </c>
      <c r="E40">
        <v>3</v>
      </c>
      <c r="F40">
        <v>18.690000000000001</v>
      </c>
      <c r="G40">
        <v>2.31</v>
      </c>
    </row>
    <row r="41" spans="1:7" x14ac:dyDescent="0.35">
      <c r="A41" t="s">
        <v>11</v>
      </c>
      <c r="B41" t="s">
        <v>8</v>
      </c>
      <c r="C41" t="s">
        <v>21</v>
      </c>
      <c r="D41" t="s">
        <v>10</v>
      </c>
      <c r="E41">
        <v>3</v>
      </c>
      <c r="F41">
        <v>31.27</v>
      </c>
      <c r="G41">
        <v>5</v>
      </c>
    </row>
    <row r="42" spans="1:7" x14ac:dyDescent="0.35">
      <c r="A42" t="s">
        <v>11</v>
      </c>
      <c r="B42" t="s">
        <v>8</v>
      </c>
      <c r="C42" t="s">
        <v>21</v>
      </c>
      <c r="D42" t="s">
        <v>10</v>
      </c>
      <c r="E42">
        <v>3</v>
      </c>
      <c r="F42">
        <v>16.04</v>
      </c>
      <c r="G42">
        <v>2.2400000000000002</v>
      </c>
    </row>
    <row r="43" spans="1:7" x14ac:dyDescent="0.35">
      <c r="A43" t="s">
        <v>11</v>
      </c>
      <c r="B43" t="s">
        <v>8</v>
      </c>
      <c r="C43" t="s">
        <v>9</v>
      </c>
      <c r="D43" t="s">
        <v>10</v>
      </c>
      <c r="E43">
        <v>2</v>
      </c>
      <c r="F43">
        <v>17.46</v>
      </c>
      <c r="G43">
        <v>2.54</v>
      </c>
    </row>
    <row r="44" spans="1:7" x14ac:dyDescent="0.35">
      <c r="A44" t="s">
        <v>11</v>
      </c>
      <c r="B44" t="s">
        <v>8</v>
      </c>
      <c r="C44" t="s">
        <v>9</v>
      </c>
      <c r="D44" t="s">
        <v>10</v>
      </c>
      <c r="E44">
        <v>2</v>
      </c>
      <c r="F44">
        <v>13.94</v>
      </c>
      <c r="G44">
        <v>3.06</v>
      </c>
    </row>
    <row r="45" spans="1:7" x14ac:dyDescent="0.35">
      <c r="A45" t="s">
        <v>11</v>
      </c>
      <c r="B45" t="s">
        <v>8</v>
      </c>
      <c r="C45" t="s">
        <v>9</v>
      </c>
      <c r="D45" t="s">
        <v>10</v>
      </c>
      <c r="E45">
        <v>2</v>
      </c>
      <c r="F45">
        <v>9.68</v>
      </c>
      <c r="G45">
        <v>1.32</v>
      </c>
    </row>
    <row r="46" spans="1:7" x14ac:dyDescent="0.35">
      <c r="A46" t="s">
        <v>11</v>
      </c>
      <c r="B46" t="s">
        <v>8</v>
      </c>
      <c r="C46" t="s">
        <v>9</v>
      </c>
      <c r="D46" t="s">
        <v>10</v>
      </c>
      <c r="E46">
        <v>4</v>
      </c>
      <c r="F46">
        <v>30.4</v>
      </c>
      <c r="G46">
        <v>5.6</v>
      </c>
    </row>
    <row r="47" spans="1:7" x14ac:dyDescent="0.35">
      <c r="A47" t="s">
        <v>11</v>
      </c>
      <c r="B47" t="s">
        <v>8</v>
      </c>
      <c r="C47" t="s">
        <v>9</v>
      </c>
      <c r="D47" t="s">
        <v>10</v>
      </c>
      <c r="E47">
        <v>2</v>
      </c>
      <c r="F47">
        <v>18.29</v>
      </c>
      <c r="G47">
        <v>3</v>
      </c>
    </row>
    <row r="48" spans="1:7" x14ac:dyDescent="0.35">
      <c r="A48" t="s">
        <v>11</v>
      </c>
      <c r="B48" t="s">
        <v>8</v>
      </c>
      <c r="C48" t="s">
        <v>9</v>
      </c>
      <c r="D48" t="s">
        <v>10</v>
      </c>
      <c r="E48">
        <v>2</v>
      </c>
      <c r="F48">
        <v>22.23</v>
      </c>
      <c r="G48">
        <v>5</v>
      </c>
    </row>
    <row r="49" spans="1:7" x14ac:dyDescent="0.35">
      <c r="A49" t="s">
        <v>11</v>
      </c>
      <c r="B49" t="s">
        <v>8</v>
      </c>
      <c r="C49" t="s">
        <v>9</v>
      </c>
      <c r="D49" t="s">
        <v>10</v>
      </c>
      <c r="E49">
        <v>4</v>
      </c>
      <c r="F49">
        <v>32.4</v>
      </c>
      <c r="G49">
        <v>6</v>
      </c>
    </row>
    <row r="50" spans="1:7" x14ac:dyDescent="0.35">
      <c r="A50" t="s">
        <v>11</v>
      </c>
      <c r="B50" t="s">
        <v>8</v>
      </c>
      <c r="C50" t="s">
        <v>9</v>
      </c>
      <c r="D50" t="s">
        <v>10</v>
      </c>
      <c r="E50">
        <v>3</v>
      </c>
      <c r="F50">
        <v>28.55</v>
      </c>
      <c r="G50">
        <v>2.0499999999999998</v>
      </c>
    </row>
    <row r="51" spans="1:7" x14ac:dyDescent="0.35">
      <c r="A51" t="s">
        <v>11</v>
      </c>
      <c r="B51" t="s">
        <v>8</v>
      </c>
      <c r="C51" t="s">
        <v>9</v>
      </c>
      <c r="D51" t="s">
        <v>10</v>
      </c>
      <c r="E51">
        <v>2</v>
      </c>
      <c r="F51">
        <v>18.04</v>
      </c>
      <c r="G51">
        <v>3</v>
      </c>
    </row>
    <row r="52" spans="1:7" x14ac:dyDescent="0.35">
      <c r="A52" t="s">
        <v>11</v>
      </c>
      <c r="B52" t="s">
        <v>8</v>
      </c>
      <c r="C52" t="s">
        <v>9</v>
      </c>
      <c r="D52" t="s">
        <v>10</v>
      </c>
      <c r="E52">
        <v>2</v>
      </c>
      <c r="F52">
        <v>12.54</v>
      </c>
      <c r="G52">
        <v>2.5</v>
      </c>
    </row>
    <row r="53" spans="1:7" x14ac:dyDescent="0.35">
      <c r="A53" t="s">
        <v>7</v>
      </c>
      <c r="B53" t="s">
        <v>8</v>
      </c>
      <c r="C53" t="s">
        <v>9</v>
      </c>
      <c r="D53" t="s">
        <v>10</v>
      </c>
      <c r="E53">
        <v>2</v>
      </c>
      <c r="F53">
        <v>10.29</v>
      </c>
      <c r="G53">
        <v>2.6</v>
      </c>
    </row>
    <row r="54" spans="1:7" x14ac:dyDescent="0.35">
      <c r="A54" t="s">
        <v>7</v>
      </c>
      <c r="B54" t="s">
        <v>8</v>
      </c>
      <c r="C54" t="s">
        <v>9</v>
      </c>
      <c r="D54" t="s">
        <v>10</v>
      </c>
      <c r="E54">
        <v>4</v>
      </c>
      <c r="F54">
        <v>34.81</v>
      </c>
      <c r="G54">
        <v>5.2</v>
      </c>
    </row>
    <row r="55" spans="1:7" x14ac:dyDescent="0.35">
      <c r="A55" t="s">
        <v>11</v>
      </c>
      <c r="B55" t="s">
        <v>8</v>
      </c>
      <c r="C55" t="s">
        <v>9</v>
      </c>
      <c r="D55" t="s">
        <v>10</v>
      </c>
      <c r="E55">
        <v>2</v>
      </c>
      <c r="F55">
        <v>9.94</v>
      </c>
      <c r="G55">
        <v>1.56</v>
      </c>
    </row>
    <row r="56" spans="1:7" x14ac:dyDescent="0.35">
      <c r="A56" t="s">
        <v>11</v>
      </c>
      <c r="B56" t="s">
        <v>8</v>
      </c>
      <c r="C56" t="s">
        <v>9</v>
      </c>
      <c r="D56" t="s">
        <v>10</v>
      </c>
      <c r="E56">
        <v>4</v>
      </c>
      <c r="F56">
        <v>25.56</v>
      </c>
      <c r="G56">
        <v>4.34</v>
      </c>
    </row>
    <row r="57" spans="1:7" x14ac:dyDescent="0.35">
      <c r="A57" t="s">
        <v>11</v>
      </c>
      <c r="B57" t="s">
        <v>8</v>
      </c>
      <c r="C57" t="s">
        <v>9</v>
      </c>
      <c r="D57" t="s">
        <v>10</v>
      </c>
      <c r="E57">
        <v>2</v>
      </c>
      <c r="F57">
        <v>19.489999999999998</v>
      </c>
      <c r="G57">
        <v>3.51</v>
      </c>
    </row>
    <row r="58" spans="1:7" x14ac:dyDescent="0.35">
      <c r="A58" t="s">
        <v>11</v>
      </c>
      <c r="B58" t="s">
        <v>22</v>
      </c>
      <c r="C58" t="s">
        <v>21</v>
      </c>
      <c r="D58" t="s">
        <v>10</v>
      </c>
      <c r="E58">
        <v>4</v>
      </c>
      <c r="F58">
        <v>38.01</v>
      </c>
      <c r="G58">
        <v>3</v>
      </c>
    </row>
    <row r="59" spans="1:7" x14ac:dyDescent="0.35">
      <c r="A59" t="s">
        <v>7</v>
      </c>
      <c r="B59" t="s">
        <v>8</v>
      </c>
      <c r="C59" t="s">
        <v>21</v>
      </c>
      <c r="D59" t="s">
        <v>10</v>
      </c>
      <c r="E59">
        <v>2</v>
      </c>
      <c r="F59">
        <v>26.41</v>
      </c>
      <c r="G59">
        <v>1.5</v>
      </c>
    </row>
    <row r="60" spans="1:7" x14ac:dyDescent="0.35">
      <c r="A60" t="s">
        <v>11</v>
      </c>
      <c r="B60" t="s">
        <v>22</v>
      </c>
      <c r="C60" t="s">
        <v>21</v>
      </c>
      <c r="D60" t="s">
        <v>10</v>
      </c>
      <c r="E60">
        <v>2</v>
      </c>
      <c r="F60">
        <v>11.24</v>
      </c>
      <c r="G60">
        <v>1.76</v>
      </c>
    </row>
    <row r="61" spans="1:7" x14ac:dyDescent="0.35">
      <c r="A61" t="s">
        <v>11</v>
      </c>
      <c r="B61" t="s">
        <v>8</v>
      </c>
      <c r="C61" t="s">
        <v>21</v>
      </c>
      <c r="D61" t="s">
        <v>10</v>
      </c>
      <c r="E61">
        <v>4</v>
      </c>
      <c r="F61">
        <v>48.27</v>
      </c>
      <c r="G61">
        <v>6.73</v>
      </c>
    </row>
    <row r="62" spans="1:7" x14ac:dyDescent="0.35">
      <c r="A62" t="s">
        <v>11</v>
      </c>
      <c r="B62" t="s">
        <v>22</v>
      </c>
      <c r="C62" t="s">
        <v>21</v>
      </c>
      <c r="D62" t="s">
        <v>10</v>
      </c>
      <c r="E62">
        <v>2</v>
      </c>
      <c r="F62">
        <v>20.29</v>
      </c>
      <c r="G62">
        <v>3.21</v>
      </c>
    </row>
    <row r="63" spans="1:7" x14ac:dyDescent="0.35">
      <c r="A63" t="s">
        <v>11</v>
      </c>
      <c r="B63" t="s">
        <v>22</v>
      </c>
      <c r="C63" t="s">
        <v>21</v>
      </c>
      <c r="D63" t="s">
        <v>10</v>
      </c>
      <c r="E63">
        <v>2</v>
      </c>
      <c r="F63">
        <v>13.81</v>
      </c>
      <c r="G63">
        <v>2</v>
      </c>
    </row>
    <row r="64" spans="1:7" x14ac:dyDescent="0.35">
      <c r="A64" t="s">
        <v>11</v>
      </c>
      <c r="B64" t="s">
        <v>22</v>
      </c>
      <c r="C64" t="s">
        <v>21</v>
      </c>
      <c r="D64" t="s">
        <v>10</v>
      </c>
      <c r="E64">
        <v>2</v>
      </c>
      <c r="F64">
        <v>11.02</v>
      </c>
      <c r="G64">
        <v>1.98</v>
      </c>
    </row>
    <row r="65" spans="1:7" x14ac:dyDescent="0.35">
      <c r="A65" t="s">
        <v>11</v>
      </c>
      <c r="B65" t="s">
        <v>22</v>
      </c>
      <c r="C65" t="s">
        <v>21</v>
      </c>
      <c r="D65" t="s">
        <v>10</v>
      </c>
      <c r="E65">
        <v>4</v>
      </c>
      <c r="F65">
        <v>18.29</v>
      </c>
      <c r="G65">
        <v>3.76</v>
      </c>
    </row>
    <row r="66" spans="1:7" x14ac:dyDescent="0.35">
      <c r="A66" t="s">
        <v>11</v>
      </c>
      <c r="B66" t="s">
        <v>8</v>
      </c>
      <c r="C66" t="s">
        <v>21</v>
      </c>
      <c r="D66" t="s">
        <v>10</v>
      </c>
      <c r="E66">
        <v>3</v>
      </c>
      <c r="F66">
        <v>17.59</v>
      </c>
      <c r="G66">
        <v>2.64</v>
      </c>
    </row>
    <row r="67" spans="1:7" x14ac:dyDescent="0.35">
      <c r="A67" t="s">
        <v>11</v>
      </c>
      <c r="B67" t="s">
        <v>8</v>
      </c>
      <c r="C67" t="s">
        <v>21</v>
      </c>
      <c r="D67" t="s">
        <v>10</v>
      </c>
      <c r="E67">
        <v>3</v>
      </c>
      <c r="F67">
        <v>20.079999999999998</v>
      </c>
      <c r="G67">
        <v>3.15</v>
      </c>
    </row>
    <row r="68" spans="1:7" x14ac:dyDescent="0.35">
      <c r="A68" t="s">
        <v>7</v>
      </c>
      <c r="B68" t="s">
        <v>8</v>
      </c>
      <c r="C68" t="s">
        <v>21</v>
      </c>
      <c r="D68" t="s">
        <v>10</v>
      </c>
      <c r="E68">
        <v>2</v>
      </c>
      <c r="F68">
        <v>16.45</v>
      </c>
      <c r="G68">
        <v>2.4700000000000002</v>
      </c>
    </row>
    <row r="69" spans="1:7" x14ac:dyDescent="0.35">
      <c r="A69" t="s">
        <v>7</v>
      </c>
      <c r="B69" t="s">
        <v>22</v>
      </c>
      <c r="C69" t="s">
        <v>21</v>
      </c>
      <c r="D69" t="s">
        <v>10</v>
      </c>
      <c r="E69">
        <v>1</v>
      </c>
      <c r="F69">
        <v>3.07</v>
      </c>
      <c r="G69">
        <v>1</v>
      </c>
    </row>
    <row r="70" spans="1:7" x14ac:dyDescent="0.35">
      <c r="A70" t="s">
        <v>11</v>
      </c>
      <c r="B70" t="s">
        <v>8</v>
      </c>
      <c r="C70" t="s">
        <v>21</v>
      </c>
      <c r="D70" t="s">
        <v>10</v>
      </c>
      <c r="E70">
        <v>2</v>
      </c>
      <c r="F70">
        <v>20.23</v>
      </c>
      <c r="G70">
        <v>2.0099999999999998</v>
      </c>
    </row>
    <row r="71" spans="1:7" x14ac:dyDescent="0.35">
      <c r="A71" t="s">
        <v>11</v>
      </c>
      <c r="B71" t="s">
        <v>22</v>
      </c>
      <c r="C71" t="s">
        <v>21</v>
      </c>
      <c r="D71" t="s">
        <v>10</v>
      </c>
      <c r="E71">
        <v>2</v>
      </c>
      <c r="F71">
        <v>15.01</v>
      </c>
      <c r="G71">
        <v>2.09</v>
      </c>
    </row>
    <row r="72" spans="1:7" x14ac:dyDescent="0.35">
      <c r="A72" t="s">
        <v>11</v>
      </c>
      <c r="B72" t="s">
        <v>8</v>
      </c>
      <c r="C72" t="s">
        <v>21</v>
      </c>
      <c r="D72" t="s">
        <v>10</v>
      </c>
      <c r="E72">
        <v>2</v>
      </c>
      <c r="F72">
        <v>12.02</v>
      </c>
      <c r="G72">
        <v>1.97</v>
      </c>
    </row>
    <row r="73" spans="1:7" x14ac:dyDescent="0.35">
      <c r="A73" t="s">
        <v>7</v>
      </c>
      <c r="B73" t="s">
        <v>8</v>
      </c>
      <c r="C73" t="s">
        <v>21</v>
      </c>
      <c r="D73" t="s">
        <v>10</v>
      </c>
      <c r="E73">
        <v>3</v>
      </c>
      <c r="F73">
        <v>17.07</v>
      </c>
      <c r="G73">
        <v>3</v>
      </c>
    </row>
    <row r="74" spans="1:7" x14ac:dyDescent="0.35">
      <c r="A74" t="s">
        <v>7</v>
      </c>
      <c r="B74" t="s">
        <v>22</v>
      </c>
      <c r="C74" t="s">
        <v>21</v>
      </c>
      <c r="D74" t="s">
        <v>10</v>
      </c>
      <c r="E74">
        <v>2</v>
      </c>
      <c r="F74">
        <v>26.86</v>
      </c>
      <c r="G74">
        <v>3.14</v>
      </c>
    </row>
    <row r="75" spans="1:7" x14ac:dyDescent="0.35">
      <c r="A75" t="s">
        <v>7</v>
      </c>
      <c r="B75" t="s">
        <v>22</v>
      </c>
      <c r="C75" t="s">
        <v>21</v>
      </c>
      <c r="D75" t="s">
        <v>10</v>
      </c>
      <c r="E75">
        <v>2</v>
      </c>
      <c r="F75">
        <v>25.28</v>
      </c>
      <c r="G75">
        <v>5</v>
      </c>
    </row>
    <row r="76" spans="1:7" x14ac:dyDescent="0.35">
      <c r="A76" t="s">
        <v>7</v>
      </c>
      <c r="B76" t="s">
        <v>8</v>
      </c>
      <c r="C76" t="s">
        <v>21</v>
      </c>
      <c r="D76" t="s">
        <v>10</v>
      </c>
      <c r="E76">
        <v>2</v>
      </c>
      <c r="F76">
        <v>14.73</v>
      </c>
      <c r="G76">
        <v>2.2000000000000002</v>
      </c>
    </row>
    <row r="77" spans="1:7" x14ac:dyDescent="0.35">
      <c r="A77" t="s">
        <v>11</v>
      </c>
      <c r="B77" t="s">
        <v>8</v>
      </c>
      <c r="C77" t="s">
        <v>21</v>
      </c>
      <c r="D77" t="s">
        <v>10</v>
      </c>
      <c r="E77">
        <v>2</v>
      </c>
      <c r="F77">
        <v>10.51</v>
      </c>
      <c r="G77">
        <v>1.25</v>
      </c>
    </row>
    <row r="78" spans="1:7" x14ac:dyDescent="0.35">
      <c r="A78" t="s">
        <v>11</v>
      </c>
      <c r="B78" t="s">
        <v>22</v>
      </c>
      <c r="C78" t="s">
        <v>21</v>
      </c>
      <c r="D78" t="s">
        <v>10</v>
      </c>
      <c r="E78">
        <v>2</v>
      </c>
      <c r="F78">
        <v>17.920000000000002</v>
      </c>
      <c r="G78">
        <v>3.08</v>
      </c>
    </row>
    <row r="79" spans="1:7" x14ac:dyDescent="0.35">
      <c r="A79" t="s">
        <v>11</v>
      </c>
      <c r="B79" t="s">
        <v>8</v>
      </c>
      <c r="C79" t="s">
        <v>23</v>
      </c>
      <c r="D79" t="s">
        <v>24</v>
      </c>
      <c r="E79">
        <v>4</v>
      </c>
      <c r="F79">
        <v>27.2</v>
      </c>
      <c r="G79">
        <v>4</v>
      </c>
    </row>
    <row r="80" spans="1:7" x14ac:dyDescent="0.35">
      <c r="A80" t="s">
        <v>11</v>
      </c>
      <c r="B80" t="s">
        <v>8</v>
      </c>
      <c r="C80" t="s">
        <v>23</v>
      </c>
      <c r="D80" t="s">
        <v>24</v>
      </c>
      <c r="E80">
        <v>2</v>
      </c>
      <c r="F80">
        <v>22.76</v>
      </c>
      <c r="G80">
        <v>3</v>
      </c>
    </row>
    <row r="81" spans="1:7" x14ac:dyDescent="0.35">
      <c r="A81" t="s">
        <v>11</v>
      </c>
      <c r="B81" t="s">
        <v>8</v>
      </c>
      <c r="C81" t="s">
        <v>23</v>
      </c>
      <c r="D81" t="s">
        <v>24</v>
      </c>
      <c r="E81">
        <v>2</v>
      </c>
      <c r="F81">
        <v>17.29</v>
      </c>
      <c r="G81">
        <v>2.71</v>
      </c>
    </row>
    <row r="82" spans="1:7" x14ac:dyDescent="0.35">
      <c r="A82" t="s">
        <v>11</v>
      </c>
      <c r="B82" t="s">
        <v>22</v>
      </c>
      <c r="C82" t="s">
        <v>23</v>
      </c>
      <c r="D82" t="s">
        <v>24</v>
      </c>
      <c r="E82">
        <v>2</v>
      </c>
      <c r="F82">
        <v>19.440000000000001</v>
      </c>
      <c r="G82">
        <v>3</v>
      </c>
    </row>
    <row r="83" spans="1:7" x14ac:dyDescent="0.35">
      <c r="A83" t="s">
        <v>11</v>
      </c>
      <c r="B83" t="s">
        <v>8</v>
      </c>
      <c r="C83" t="s">
        <v>23</v>
      </c>
      <c r="D83" t="s">
        <v>24</v>
      </c>
      <c r="E83">
        <v>2</v>
      </c>
      <c r="F83">
        <v>16.66</v>
      </c>
      <c r="G83">
        <v>3.4</v>
      </c>
    </row>
    <row r="84" spans="1:7" x14ac:dyDescent="0.35">
      <c r="A84" t="s">
        <v>7</v>
      </c>
      <c r="B84" t="s">
        <v>8</v>
      </c>
      <c r="C84" t="s">
        <v>23</v>
      </c>
      <c r="D84" t="s">
        <v>24</v>
      </c>
      <c r="E84">
        <v>1</v>
      </c>
      <c r="F84">
        <v>10.07</v>
      </c>
      <c r="G84">
        <v>1.83</v>
      </c>
    </row>
    <row r="85" spans="1:7" x14ac:dyDescent="0.35">
      <c r="A85" t="s">
        <v>11</v>
      </c>
      <c r="B85" t="s">
        <v>22</v>
      </c>
      <c r="C85" t="s">
        <v>23</v>
      </c>
      <c r="D85" t="s">
        <v>24</v>
      </c>
      <c r="E85">
        <v>2</v>
      </c>
      <c r="F85">
        <v>32.68</v>
      </c>
      <c r="G85">
        <v>5</v>
      </c>
    </row>
    <row r="86" spans="1:7" x14ac:dyDescent="0.35">
      <c r="A86" t="s">
        <v>11</v>
      </c>
      <c r="B86" t="s">
        <v>8</v>
      </c>
      <c r="C86" t="s">
        <v>23</v>
      </c>
      <c r="D86" t="s">
        <v>24</v>
      </c>
      <c r="E86">
        <v>2</v>
      </c>
      <c r="F86">
        <v>15.98</v>
      </c>
      <c r="G86">
        <v>2.0299999999999998</v>
      </c>
    </row>
    <row r="87" spans="1:7" x14ac:dyDescent="0.35">
      <c r="A87" t="s">
        <v>7</v>
      </c>
      <c r="B87" t="s">
        <v>8</v>
      </c>
      <c r="C87" t="s">
        <v>23</v>
      </c>
      <c r="D87" t="s">
        <v>24</v>
      </c>
      <c r="E87">
        <v>4</v>
      </c>
      <c r="F87">
        <v>34.83</v>
      </c>
      <c r="G87">
        <v>5.17</v>
      </c>
    </row>
    <row r="88" spans="1:7" x14ac:dyDescent="0.35">
      <c r="A88" t="s">
        <v>11</v>
      </c>
      <c r="B88" t="s">
        <v>8</v>
      </c>
      <c r="C88" t="s">
        <v>23</v>
      </c>
      <c r="D88" t="s">
        <v>24</v>
      </c>
      <c r="E88">
        <v>2</v>
      </c>
      <c r="F88">
        <v>13.03</v>
      </c>
      <c r="G88">
        <v>2</v>
      </c>
    </row>
    <row r="89" spans="1:7" x14ac:dyDescent="0.35">
      <c r="A89" t="s">
        <v>11</v>
      </c>
      <c r="B89" t="s">
        <v>8</v>
      </c>
      <c r="C89" t="s">
        <v>23</v>
      </c>
      <c r="D89" t="s">
        <v>24</v>
      </c>
      <c r="E89">
        <v>2</v>
      </c>
      <c r="F89">
        <v>18.28</v>
      </c>
      <c r="G89">
        <v>4</v>
      </c>
    </row>
    <row r="90" spans="1:7" x14ac:dyDescent="0.35">
      <c r="A90" t="s">
        <v>11</v>
      </c>
      <c r="B90" t="s">
        <v>8</v>
      </c>
      <c r="C90" t="s">
        <v>23</v>
      </c>
      <c r="D90" t="s">
        <v>24</v>
      </c>
      <c r="E90">
        <v>2</v>
      </c>
      <c r="F90">
        <v>24.71</v>
      </c>
      <c r="G90">
        <v>5.85</v>
      </c>
    </row>
    <row r="91" spans="1:7" x14ac:dyDescent="0.35">
      <c r="A91" t="s">
        <v>11</v>
      </c>
      <c r="B91" t="s">
        <v>8</v>
      </c>
      <c r="C91" t="s">
        <v>23</v>
      </c>
      <c r="D91" t="s">
        <v>24</v>
      </c>
      <c r="E91">
        <v>2</v>
      </c>
      <c r="F91">
        <v>21.16</v>
      </c>
      <c r="G91">
        <v>3</v>
      </c>
    </row>
    <row r="92" spans="1:7" x14ac:dyDescent="0.35">
      <c r="A92" t="s">
        <v>11</v>
      </c>
      <c r="B92" t="s">
        <v>22</v>
      </c>
      <c r="C92" t="s">
        <v>25</v>
      </c>
      <c r="D92" t="s">
        <v>10</v>
      </c>
      <c r="E92">
        <v>2</v>
      </c>
      <c r="F92">
        <v>28.97</v>
      </c>
      <c r="G92">
        <v>3</v>
      </c>
    </row>
    <row r="93" spans="1:7" x14ac:dyDescent="0.35">
      <c r="A93" t="s">
        <v>11</v>
      </c>
      <c r="B93" t="s">
        <v>8</v>
      </c>
      <c r="C93" t="s">
        <v>25</v>
      </c>
      <c r="D93" t="s">
        <v>10</v>
      </c>
      <c r="E93">
        <v>2</v>
      </c>
      <c r="F93">
        <v>22.49</v>
      </c>
      <c r="G93">
        <v>3.5</v>
      </c>
    </row>
    <row r="94" spans="1:7" x14ac:dyDescent="0.35">
      <c r="A94" t="s">
        <v>7</v>
      </c>
      <c r="B94" t="s">
        <v>22</v>
      </c>
      <c r="C94" t="s">
        <v>25</v>
      </c>
      <c r="D94" t="s">
        <v>10</v>
      </c>
      <c r="E94">
        <v>2</v>
      </c>
      <c r="F94">
        <v>5.75</v>
      </c>
      <c r="G94">
        <v>1</v>
      </c>
    </row>
    <row r="95" spans="1:7" x14ac:dyDescent="0.35">
      <c r="A95" t="s">
        <v>7</v>
      </c>
      <c r="B95" t="s">
        <v>22</v>
      </c>
      <c r="C95" t="s">
        <v>25</v>
      </c>
      <c r="D95" t="s">
        <v>10</v>
      </c>
      <c r="E95">
        <v>2</v>
      </c>
      <c r="F95">
        <v>16.32</v>
      </c>
      <c r="G95">
        <v>4.3</v>
      </c>
    </row>
    <row r="96" spans="1:7" x14ac:dyDescent="0.35">
      <c r="A96" t="s">
        <v>7</v>
      </c>
      <c r="B96" t="s">
        <v>8</v>
      </c>
      <c r="C96" t="s">
        <v>25</v>
      </c>
      <c r="D96" t="s">
        <v>10</v>
      </c>
      <c r="E96">
        <v>2</v>
      </c>
      <c r="F96">
        <v>22.75</v>
      </c>
      <c r="G96">
        <v>3.25</v>
      </c>
    </row>
    <row r="97" spans="1:7" x14ac:dyDescent="0.35">
      <c r="A97" t="s">
        <v>11</v>
      </c>
      <c r="B97" t="s">
        <v>22</v>
      </c>
      <c r="C97" t="s">
        <v>25</v>
      </c>
      <c r="D97" t="s">
        <v>10</v>
      </c>
      <c r="E97">
        <v>4</v>
      </c>
      <c r="F97">
        <v>40.17</v>
      </c>
      <c r="G97">
        <v>4.7300000000000004</v>
      </c>
    </row>
    <row r="98" spans="1:7" x14ac:dyDescent="0.35">
      <c r="A98" t="s">
        <v>11</v>
      </c>
      <c r="B98" t="s">
        <v>22</v>
      </c>
      <c r="C98" t="s">
        <v>25</v>
      </c>
      <c r="D98" t="s">
        <v>10</v>
      </c>
      <c r="E98">
        <v>2</v>
      </c>
      <c r="F98">
        <v>27.28</v>
      </c>
      <c r="G98">
        <v>4</v>
      </c>
    </row>
    <row r="99" spans="1:7" x14ac:dyDescent="0.35">
      <c r="A99" t="s">
        <v>11</v>
      </c>
      <c r="B99" t="s">
        <v>22</v>
      </c>
      <c r="C99" t="s">
        <v>25</v>
      </c>
      <c r="D99" t="s">
        <v>10</v>
      </c>
      <c r="E99">
        <v>2</v>
      </c>
      <c r="F99">
        <v>12.03</v>
      </c>
      <c r="G99">
        <v>1.5</v>
      </c>
    </row>
    <row r="100" spans="1:7" x14ac:dyDescent="0.35">
      <c r="A100" t="s">
        <v>11</v>
      </c>
      <c r="B100" t="s">
        <v>22</v>
      </c>
      <c r="C100" t="s">
        <v>25</v>
      </c>
      <c r="D100" t="s">
        <v>10</v>
      </c>
      <c r="E100">
        <v>2</v>
      </c>
      <c r="F100">
        <v>21.01</v>
      </c>
      <c r="G100">
        <v>3</v>
      </c>
    </row>
    <row r="101" spans="1:7" x14ac:dyDescent="0.35">
      <c r="A101" t="s">
        <v>11</v>
      </c>
      <c r="B101" t="s">
        <v>8</v>
      </c>
      <c r="C101" t="s">
        <v>25</v>
      </c>
      <c r="D101" t="s">
        <v>10</v>
      </c>
      <c r="E101">
        <v>2</v>
      </c>
      <c r="F101">
        <v>12.46</v>
      </c>
      <c r="G101">
        <v>1.5</v>
      </c>
    </row>
    <row r="102" spans="1:7" x14ac:dyDescent="0.35">
      <c r="A102" t="s">
        <v>7</v>
      </c>
      <c r="B102" t="s">
        <v>22</v>
      </c>
      <c r="C102" t="s">
        <v>25</v>
      </c>
      <c r="D102" t="s">
        <v>10</v>
      </c>
      <c r="E102">
        <v>2</v>
      </c>
      <c r="F102">
        <v>11.35</v>
      </c>
      <c r="G102">
        <v>2.5</v>
      </c>
    </row>
    <row r="103" spans="1:7" x14ac:dyDescent="0.35">
      <c r="A103" t="s">
        <v>7</v>
      </c>
      <c r="B103" t="s">
        <v>22</v>
      </c>
      <c r="C103" t="s">
        <v>25</v>
      </c>
      <c r="D103" t="s">
        <v>10</v>
      </c>
      <c r="E103">
        <v>2</v>
      </c>
      <c r="F103">
        <v>15.38</v>
      </c>
      <c r="G103">
        <v>3</v>
      </c>
    </row>
    <row r="104" spans="1:7" x14ac:dyDescent="0.35">
      <c r="A104" t="s">
        <v>7</v>
      </c>
      <c r="B104" t="s">
        <v>22</v>
      </c>
      <c r="C104" t="s">
        <v>21</v>
      </c>
      <c r="D104" t="s">
        <v>10</v>
      </c>
      <c r="E104">
        <v>3</v>
      </c>
      <c r="F104">
        <v>44.3</v>
      </c>
      <c r="G104">
        <v>2.5</v>
      </c>
    </row>
    <row r="105" spans="1:7" x14ac:dyDescent="0.35">
      <c r="A105" t="s">
        <v>7</v>
      </c>
      <c r="B105" t="s">
        <v>22</v>
      </c>
      <c r="C105" t="s">
        <v>21</v>
      </c>
      <c r="D105" t="s">
        <v>10</v>
      </c>
      <c r="E105">
        <v>2</v>
      </c>
      <c r="F105">
        <v>22.42</v>
      </c>
      <c r="G105">
        <v>3.48</v>
      </c>
    </row>
    <row r="106" spans="1:7" x14ac:dyDescent="0.35">
      <c r="A106" t="s">
        <v>7</v>
      </c>
      <c r="B106" t="s">
        <v>8</v>
      </c>
      <c r="C106" t="s">
        <v>21</v>
      </c>
      <c r="D106" t="s">
        <v>10</v>
      </c>
      <c r="E106">
        <v>2</v>
      </c>
      <c r="F106">
        <v>20.92</v>
      </c>
      <c r="G106">
        <v>4.08</v>
      </c>
    </row>
    <row r="107" spans="1:7" x14ac:dyDescent="0.35">
      <c r="A107" t="s">
        <v>11</v>
      </c>
      <c r="B107" t="s">
        <v>22</v>
      </c>
      <c r="C107" t="s">
        <v>21</v>
      </c>
      <c r="D107" t="s">
        <v>10</v>
      </c>
      <c r="E107">
        <v>2</v>
      </c>
      <c r="F107">
        <v>15.36</v>
      </c>
      <c r="G107">
        <v>1.64</v>
      </c>
    </row>
    <row r="108" spans="1:7" x14ac:dyDescent="0.35">
      <c r="A108" t="s">
        <v>11</v>
      </c>
      <c r="B108" t="s">
        <v>22</v>
      </c>
      <c r="C108" t="s">
        <v>21</v>
      </c>
      <c r="D108" t="s">
        <v>10</v>
      </c>
      <c r="E108">
        <v>2</v>
      </c>
      <c r="F108">
        <v>20.49</v>
      </c>
      <c r="G108">
        <v>4.0599999999999996</v>
      </c>
    </row>
    <row r="109" spans="1:7" x14ac:dyDescent="0.35">
      <c r="A109" t="s">
        <v>11</v>
      </c>
      <c r="B109" t="s">
        <v>22</v>
      </c>
      <c r="C109" t="s">
        <v>21</v>
      </c>
      <c r="D109" t="s">
        <v>10</v>
      </c>
      <c r="E109">
        <v>2</v>
      </c>
      <c r="F109">
        <v>25.21</v>
      </c>
      <c r="G109">
        <v>4.29</v>
      </c>
    </row>
    <row r="110" spans="1:7" x14ac:dyDescent="0.35">
      <c r="A110" t="s">
        <v>11</v>
      </c>
      <c r="B110" t="s">
        <v>8</v>
      </c>
      <c r="C110" t="s">
        <v>21</v>
      </c>
      <c r="D110" t="s">
        <v>10</v>
      </c>
      <c r="E110">
        <v>2</v>
      </c>
      <c r="F110">
        <v>18.239999999999998</v>
      </c>
      <c r="G110">
        <v>3.76</v>
      </c>
    </row>
    <row r="111" spans="1:7" x14ac:dyDescent="0.35">
      <c r="A111" t="s">
        <v>7</v>
      </c>
      <c r="B111" t="s">
        <v>22</v>
      </c>
      <c r="C111" t="s">
        <v>21</v>
      </c>
      <c r="D111" t="s">
        <v>10</v>
      </c>
      <c r="E111">
        <v>2</v>
      </c>
      <c r="F111">
        <v>14.31</v>
      </c>
      <c r="G111">
        <v>4</v>
      </c>
    </row>
    <row r="112" spans="1:7" x14ac:dyDescent="0.35">
      <c r="A112" t="s">
        <v>11</v>
      </c>
      <c r="B112" t="s">
        <v>8</v>
      </c>
      <c r="C112" t="s">
        <v>21</v>
      </c>
      <c r="D112" t="s">
        <v>10</v>
      </c>
      <c r="E112">
        <v>2</v>
      </c>
      <c r="F112">
        <v>14</v>
      </c>
      <c r="G112">
        <v>3</v>
      </c>
    </row>
    <row r="113" spans="1:7" x14ac:dyDescent="0.35">
      <c r="A113" t="s">
        <v>7</v>
      </c>
      <c r="B113" t="s">
        <v>8</v>
      </c>
      <c r="C113" t="s">
        <v>21</v>
      </c>
      <c r="D113" t="s">
        <v>10</v>
      </c>
      <c r="E113">
        <v>1</v>
      </c>
      <c r="F113">
        <v>7.25</v>
      </c>
      <c r="G113">
        <v>1</v>
      </c>
    </row>
    <row r="114" spans="1:7" x14ac:dyDescent="0.35">
      <c r="A114" t="s">
        <v>11</v>
      </c>
      <c r="B114" t="s">
        <v>8</v>
      </c>
      <c r="C114" t="s">
        <v>9</v>
      </c>
      <c r="D114" t="s">
        <v>10</v>
      </c>
      <c r="E114">
        <v>3</v>
      </c>
      <c r="F114">
        <v>38.07</v>
      </c>
      <c r="G114">
        <v>4</v>
      </c>
    </row>
    <row r="115" spans="1:7" x14ac:dyDescent="0.35">
      <c r="A115" t="s">
        <v>11</v>
      </c>
      <c r="B115" t="s">
        <v>8</v>
      </c>
      <c r="C115" t="s">
        <v>9</v>
      </c>
      <c r="D115" t="s">
        <v>10</v>
      </c>
      <c r="E115">
        <v>2</v>
      </c>
      <c r="F115">
        <v>23.95</v>
      </c>
      <c r="G115">
        <v>2.5499999999999998</v>
      </c>
    </row>
    <row r="116" spans="1:7" x14ac:dyDescent="0.35">
      <c r="A116" t="s">
        <v>7</v>
      </c>
      <c r="B116" t="s">
        <v>8</v>
      </c>
      <c r="C116" t="s">
        <v>9</v>
      </c>
      <c r="D116" t="s">
        <v>10</v>
      </c>
      <c r="E116">
        <v>3</v>
      </c>
      <c r="F116">
        <v>25.71</v>
      </c>
      <c r="G116">
        <v>4</v>
      </c>
    </row>
    <row r="117" spans="1:7" x14ac:dyDescent="0.35">
      <c r="A117" t="s">
        <v>7</v>
      </c>
      <c r="B117" t="s">
        <v>8</v>
      </c>
      <c r="C117" t="s">
        <v>9</v>
      </c>
      <c r="D117" t="s">
        <v>10</v>
      </c>
      <c r="E117">
        <v>2</v>
      </c>
      <c r="F117">
        <v>17.309999999999999</v>
      </c>
      <c r="G117">
        <v>3.5</v>
      </c>
    </row>
    <row r="118" spans="1:7" x14ac:dyDescent="0.35">
      <c r="A118" t="s">
        <v>11</v>
      </c>
      <c r="B118" t="s">
        <v>8</v>
      </c>
      <c r="C118" t="s">
        <v>9</v>
      </c>
      <c r="D118" t="s">
        <v>10</v>
      </c>
      <c r="E118">
        <v>4</v>
      </c>
      <c r="F118">
        <v>29.93</v>
      </c>
      <c r="G118">
        <v>5.07</v>
      </c>
    </row>
    <row r="119" spans="1:7" x14ac:dyDescent="0.35">
      <c r="A119" t="s">
        <v>7</v>
      </c>
      <c r="B119" t="s">
        <v>8</v>
      </c>
      <c r="C119" t="s">
        <v>23</v>
      </c>
      <c r="D119" t="s">
        <v>24</v>
      </c>
      <c r="E119">
        <v>2</v>
      </c>
      <c r="F119">
        <v>10.65</v>
      </c>
      <c r="G119">
        <v>1.5</v>
      </c>
    </row>
    <row r="120" spans="1:7" x14ac:dyDescent="0.35">
      <c r="A120" t="s">
        <v>7</v>
      </c>
      <c r="B120" t="s">
        <v>8</v>
      </c>
      <c r="C120" t="s">
        <v>23</v>
      </c>
      <c r="D120" t="s">
        <v>24</v>
      </c>
      <c r="E120">
        <v>2</v>
      </c>
      <c r="F120">
        <v>12.43</v>
      </c>
      <c r="G120">
        <v>1.8</v>
      </c>
    </row>
    <row r="121" spans="1:7" x14ac:dyDescent="0.35">
      <c r="A121" t="s">
        <v>7</v>
      </c>
      <c r="B121" t="s">
        <v>8</v>
      </c>
      <c r="C121" t="s">
        <v>23</v>
      </c>
      <c r="D121" t="s">
        <v>24</v>
      </c>
      <c r="E121">
        <v>4</v>
      </c>
      <c r="F121">
        <v>24.08</v>
      </c>
      <c r="G121">
        <v>2.92</v>
      </c>
    </row>
    <row r="122" spans="1:7" x14ac:dyDescent="0.35">
      <c r="A122" t="s">
        <v>11</v>
      </c>
      <c r="B122" t="s">
        <v>8</v>
      </c>
      <c r="C122" t="s">
        <v>23</v>
      </c>
      <c r="D122" t="s">
        <v>24</v>
      </c>
      <c r="E122">
        <v>2</v>
      </c>
      <c r="F122">
        <v>11.69</v>
      </c>
      <c r="G122">
        <v>2.31</v>
      </c>
    </row>
    <row r="123" spans="1:7" x14ac:dyDescent="0.35">
      <c r="A123" t="s">
        <v>7</v>
      </c>
      <c r="B123" t="s">
        <v>8</v>
      </c>
      <c r="C123" t="s">
        <v>23</v>
      </c>
      <c r="D123" t="s">
        <v>24</v>
      </c>
      <c r="E123">
        <v>2</v>
      </c>
      <c r="F123">
        <v>13.42</v>
      </c>
      <c r="G123">
        <v>1.68</v>
      </c>
    </row>
    <row r="124" spans="1:7" x14ac:dyDescent="0.35">
      <c r="A124" t="s">
        <v>11</v>
      </c>
      <c r="B124" t="s">
        <v>8</v>
      </c>
      <c r="C124" t="s">
        <v>23</v>
      </c>
      <c r="D124" t="s">
        <v>24</v>
      </c>
      <c r="E124">
        <v>2</v>
      </c>
      <c r="F124">
        <v>14.26</v>
      </c>
      <c r="G124">
        <v>2.5</v>
      </c>
    </row>
    <row r="125" spans="1:7" x14ac:dyDescent="0.35">
      <c r="A125" t="s">
        <v>11</v>
      </c>
      <c r="B125" t="s">
        <v>8</v>
      </c>
      <c r="C125" t="s">
        <v>23</v>
      </c>
      <c r="D125" t="s">
        <v>24</v>
      </c>
      <c r="E125">
        <v>2</v>
      </c>
      <c r="F125">
        <v>15.95</v>
      </c>
      <c r="G125">
        <v>2</v>
      </c>
    </row>
    <row r="126" spans="1:7" x14ac:dyDescent="0.35">
      <c r="A126" t="s">
        <v>7</v>
      </c>
      <c r="B126" t="s">
        <v>8</v>
      </c>
      <c r="C126" t="s">
        <v>23</v>
      </c>
      <c r="D126" t="s">
        <v>24</v>
      </c>
      <c r="E126">
        <v>2</v>
      </c>
      <c r="F126">
        <v>12.48</v>
      </c>
      <c r="G126">
        <v>2.52</v>
      </c>
    </row>
    <row r="127" spans="1:7" x14ac:dyDescent="0.35">
      <c r="A127" t="s">
        <v>7</v>
      </c>
      <c r="B127" t="s">
        <v>8</v>
      </c>
      <c r="C127" t="s">
        <v>23</v>
      </c>
      <c r="D127" t="s">
        <v>24</v>
      </c>
      <c r="E127">
        <v>6</v>
      </c>
      <c r="F127">
        <v>29.8</v>
      </c>
      <c r="G127">
        <v>4.2</v>
      </c>
    </row>
    <row r="128" spans="1:7" x14ac:dyDescent="0.35">
      <c r="A128" t="s">
        <v>11</v>
      </c>
      <c r="B128" t="s">
        <v>8</v>
      </c>
      <c r="C128" t="s">
        <v>23</v>
      </c>
      <c r="D128" t="s">
        <v>24</v>
      </c>
      <c r="E128">
        <v>2</v>
      </c>
      <c r="F128">
        <v>8.52</v>
      </c>
      <c r="G128">
        <v>1.48</v>
      </c>
    </row>
    <row r="129" spans="1:7" x14ac:dyDescent="0.35">
      <c r="A129" t="s">
        <v>7</v>
      </c>
      <c r="B129" t="s">
        <v>8</v>
      </c>
      <c r="C129" t="s">
        <v>23</v>
      </c>
      <c r="D129" t="s">
        <v>24</v>
      </c>
      <c r="E129">
        <v>2</v>
      </c>
      <c r="F129">
        <v>14.52</v>
      </c>
      <c r="G129">
        <v>2</v>
      </c>
    </row>
    <row r="130" spans="1:7" x14ac:dyDescent="0.35">
      <c r="A130" t="s">
        <v>7</v>
      </c>
      <c r="B130" t="s">
        <v>8</v>
      </c>
      <c r="C130" t="s">
        <v>23</v>
      </c>
      <c r="D130" t="s">
        <v>24</v>
      </c>
      <c r="E130">
        <v>2</v>
      </c>
      <c r="F130">
        <v>11.38</v>
      </c>
      <c r="G130">
        <v>2</v>
      </c>
    </row>
    <row r="131" spans="1:7" x14ac:dyDescent="0.35">
      <c r="A131" t="s">
        <v>11</v>
      </c>
      <c r="B131" t="s">
        <v>8</v>
      </c>
      <c r="C131" t="s">
        <v>23</v>
      </c>
      <c r="D131" t="s">
        <v>24</v>
      </c>
      <c r="E131">
        <v>3</v>
      </c>
      <c r="F131">
        <v>22.82</v>
      </c>
      <c r="G131">
        <v>2.1800000000000002</v>
      </c>
    </row>
    <row r="132" spans="1:7" x14ac:dyDescent="0.35">
      <c r="A132" t="s">
        <v>11</v>
      </c>
      <c r="B132" t="s">
        <v>8</v>
      </c>
      <c r="C132" t="s">
        <v>23</v>
      </c>
      <c r="D132" t="s">
        <v>24</v>
      </c>
      <c r="E132">
        <v>2</v>
      </c>
      <c r="F132">
        <v>19.079999999999998</v>
      </c>
      <c r="G132">
        <v>1.5</v>
      </c>
    </row>
    <row r="133" spans="1:7" x14ac:dyDescent="0.35">
      <c r="A133" t="s">
        <v>7</v>
      </c>
      <c r="B133" t="s">
        <v>8</v>
      </c>
      <c r="C133" t="s">
        <v>23</v>
      </c>
      <c r="D133" t="s">
        <v>24</v>
      </c>
      <c r="E133">
        <v>2</v>
      </c>
      <c r="F133">
        <v>20.27</v>
      </c>
      <c r="G133">
        <v>2.83</v>
      </c>
    </row>
    <row r="134" spans="1:7" x14ac:dyDescent="0.35">
      <c r="A134" t="s">
        <v>7</v>
      </c>
      <c r="B134" t="s">
        <v>8</v>
      </c>
      <c r="C134" t="s">
        <v>23</v>
      </c>
      <c r="D134" t="s">
        <v>24</v>
      </c>
      <c r="E134">
        <v>2</v>
      </c>
      <c r="F134">
        <v>11.17</v>
      </c>
      <c r="G134">
        <v>1.5</v>
      </c>
    </row>
    <row r="135" spans="1:7" x14ac:dyDescent="0.35">
      <c r="A135" t="s">
        <v>7</v>
      </c>
      <c r="B135" t="s">
        <v>8</v>
      </c>
      <c r="C135" t="s">
        <v>23</v>
      </c>
      <c r="D135" t="s">
        <v>24</v>
      </c>
      <c r="E135">
        <v>2</v>
      </c>
      <c r="F135">
        <v>12.26</v>
      </c>
      <c r="G135">
        <v>2</v>
      </c>
    </row>
    <row r="136" spans="1:7" x14ac:dyDescent="0.35">
      <c r="A136" t="s">
        <v>7</v>
      </c>
      <c r="B136" t="s">
        <v>8</v>
      </c>
      <c r="C136" t="s">
        <v>23</v>
      </c>
      <c r="D136" t="s">
        <v>24</v>
      </c>
      <c r="E136">
        <v>2</v>
      </c>
      <c r="F136">
        <v>18.260000000000002</v>
      </c>
      <c r="G136">
        <v>3.25</v>
      </c>
    </row>
    <row r="137" spans="1:7" x14ac:dyDescent="0.35">
      <c r="A137" t="s">
        <v>7</v>
      </c>
      <c r="B137" t="s">
        <v>8</v>
      </c>
      <c r="C137" t="s">
        <v>23</v>
      </c>
      <c r="D137" t="s">
        <v>24</v>
      </c>
      <c r="E137">
        <v>2</v>
      </c>
      <c r="F137">
        <v>8.51</v>
      </c>
      <c r="G137">
        <v>1.25</v>
      </c>
    </row>
    <row r="138" spans="1:7" x14ac:dyDescent="0.35">
      <c r="A138" t="s">
        <v>7</v>
      </c>
      <c r="B138" t="s">
        <v>8</v>
      </c>
      <c r="C138" t="s">
        <v>23</v>
      </c>
      <c r="D138" t="s">
        <v>24</v>
      </c>
      <c r="E138">
        <v>2</v>
      </c>
      <c r="F138">
        <v>10.33</v>
      </c>
      <c r="G138">
        <v>2</v>
      </c>
    </row>
    <row r="139" spans="1:7" x14ac:dyDescent="0.35">
      <c r="A139" t="s">
        <v>7</v>
      </c>
      <c r="B139" t="s">
        <v>8</v>
      </c>
      <c r="C139" t="s">
        <v>23</v>
      </c>
      <c r="D139" t="s">
        <v>24</v>
      </c>
      <c r="E139">
        <v>2</v>
      </c>
      <c r="F139">
        <v>14.15</v>
      </c>
      <c r="G139">
        <v>2</v>
      </c>
    </row>
    <row r="140" spans="1:7" x14ac:dyDescent="0.35">
      <c r="A140" t="s">
        <v>11</v>
      </c>
      <c r="B140" t="s">
        <v>22</v>
      </c>
      <c r="C140" t="s">
        <v>23</v>
      </c>
      <c r="D140" t="s">
        <v>24</v>
      </c>
      <c r="E140">
        <v>2</v>
      </c>
      <c r="F140">
        <v>16</v>
      </c>
      <c r="G140">
        <v>2</v>
      </c>
    </row>
    <row r="141" spans="1:7" x14ac:dyDescent="0.35">
      <c r="A141" t="s">
        <v>7</v>
      </c>
      <c r="B141" t="s">
        <v>8</v>
      </c>
      <c r="C141" t="s">
        <v>23</v>
      </c>
      <c r="D141" t="s">
        <v>24</v>
      </c>
      <c r="E141">
        <v>2</v>
      </c>
      <c r="F141">
        <v>13.16</v>
      </c>
      <c r="G141">
        <v>2.75</v>
      </c>
    </row>
    <row r="142" spans="1:7" x14ac:dyDescent="0.35">
      <c r="A142" t="s">
        <v>7</v>
      </c>
      <c r="B142" t="s">
        <v>8</v>
      </c>
      <c r="C142" t="s">
        <v>23</v>
      </c>
      <c r="D142" t="s">
        <v>24</v>
      </c>
      <c r="E142">
        <v>2</v>
      </c>
      <c r="F142">
        <v>17.47</v>
      </c>
      <c r="G142">
        <v>3.5</v>
      </c>
    </row>
    <row r="143" spans="1:7" x14ac:dyDescent="0.35">
      <c r="A143" t="s">
        <v>11</v>
      </c>
      <c r="B143" t="s">
        <v>8</v>
      </c>
      <c r="C143" t="s">
        <v>23</v>
      </c>
      <c r="D143" t="s">
        <v>24</v>
      </c>
      <c r="E143">
        <v>6</v>
      </c>
      <c r="F143">
        <v>34.299999999999997</v>
      </c>
      <c r="G143">
        <v>6.7</v>
      </c>
    </row>
    <row r="144" spans="1:7" x14ac:dyDescent="0.35">
      <c r="A144" t="s">
        <v>11</v>
      </c>
      <c r="B144" t="s">
        <v>8</v>
      </c>
      <c r="C144" t="s">
        <v>23</v>
      </c>
      <c r="D144" t="s">
        <v>24</v>
      </c>
      <c r="E144">
        <v>5</v>
      </c>
      <c r="F144">
        <v>41.19</v>
      </c>
      <c r="G144">
        <v>5</v>
      </c>
    </row>
    <row r="145" spans="1:7" x14ac:dyDescent="0.35">
      <c r="A145" t="s">
        <v>7</v>
      </c>
      <c r="B145" t="s">
        <v>8</v>
      </c>
      <c r="C145" t="s">
        <v>23</v>
      </c>
      <c r="D145" t="s">
        <v>24</v>
      </c>
      <c r="E145">
        <v>6</v>
      </c>
      <c r="F145">
        <v>27.05</v>
      </c>
      <c r="G145">
        <v>5</v>
      </c>
    </row>
    <row r="146" spans="1:7" x14ac:dyDescent="0.35">
      <c r="A146" t="s">
        <v>7</v>
      </c>
      <c r="B146" t="s">
        <v>8</v>
      </c>
      <c r="C146" t="s">
        <v>23</v>
      </c>
      <c r="D146" t="s">
        <v>24</v>
      </c>
      <c r="E146">
        <v>2</v>
      </c>
      <c r="F146">
        <v>16.43</v>
      </c>
      <c r="G146">
        <v>2.2999999999999998</v>
      </c>
    </row>
    <row r="147" spans="1:7" x14ac:dyDescent="0.35">
      <c r="A147" t="s">
        <v>7</v>
      </c>
      <c r="B147" t="s">
        <v>8</v>
      </c>
      <c r="C147" t="s">
        <v>23</v>
      </c>
      <c r="D147" t="s">
        <v>24</v>
      </c>
      <c r="E147">
        <v>2</v>
      </c>
      <c r="F147">
        <v>8.35</v>
      </c>
      <c r="G147">
        <v>1.5</v>
      </c>
    </row>
    <row r="148" spans="1:7" x14ac:dyDescent="0.35">
      <c r="A148" t="s">
        <v>7</v>
      </c>
      <c r="B148" t="s">
        <v>8</v>
      </c>
      <c r="C148" t="s">
        <v>23</v>
      </c>
      <c r="D148" t="s">
        <v>24</v>
      </c>
      <c r="E148">
        <v>3</v>
      </c>
      <c r="F148">
        <v>18.64</v>
      </c>
      <c r="G148">
        <v>1.36</v>
      </c>
    </row>
    <row r="149" spans="1:7" x14ac:dyDescent="0.35">
      <c r="A149" t="s">
        <v>7</v>
      </c>
      <c r="B149" t="s">
        <v>8</v>
      </c>
      <c r="C149" t="s">
        <v>23</v>
      </c>
      <c r="D149" t="s">
        <v>24</v>
      </c>
      <c r="E149">
        <v>2</v>
      </c>
      <c r="F149">
        <v>11.87</v>
      </c>
      <c r="G149">
        <v>1.63</v>
      </c>
    </row>
    <row r="150" spans="1:7" x14ac:dyDescent="0.35">
      <c r="A150" t="s">
        <v>11</v>
      </c>
      <c r="B150" t="s">
        <v>8</v>
      </c>
      <c r="C150" t="s">
        <v>23</v>
      </c>
      <c r="D150" t="s">
        <v>24</v>
      </c>
      <c r="E150">
        <v>2</v>
      </c>
      <c r="F150">
        <v>9.7799999999999994</v>
      </c>
      <c r="G150">
        <v>1.73</v>
      </c>
    </row>
    <row r="151" spans="1:7" x14ac:dyDescent="0.35">
      <c r="A151" t="s">
        <v>11</v>
      </c>
      <c r="B151" t="s">
        <v>8</v>
      </c>
      <c r="C151" t="s">
        <v>23</v>
      </c>
      <c r="D151" t="s">
        <v>24</v>
      </c>
      <c r="E151">
        <v>2</v>
      </c>
      <c r="F151">
        <v>7.51</v>
      </c>
      <c r="G151">
        <v>2</v>
      </c>
    </row>
    <row r="152" spans="1:7" x14ac:dyDescent="0.35">
      <c r="A152" t="s">
        <v>11</v>
      </c>
      <c r="B152" t="s">
        <v>8</v>
      </c>
      <c r="C152" t="s">
        <v>9</v>
      </c>
      <c r="D152" t="s">
        <v>10</v>
      </c>
      <c r="E152">
        <v>2</v>
      </c>
      <c r="F152">
        <v>14.07</v>
      </c>
      <c r="G152">
        <v>2.5</v>
      </c>
    </row>
    <row r="153" spans="1:7" x14ac:dyDescent="0.35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13.13</v>
      </c>
      <c r="G153">
        <v>2</v>
      </c>
    </row>
    <row r="154" spans="1:7" x14ac:dyDescent="0.35">
      <c r="A154" t="s">
        <v>11</v>
      </c>
      <c r="B154" t="s">
        <v>8</v>
      </c>
      <c r="C154" t="s">
        <v>9</v>
      </c>
      <c r="D154" t="s">
        <v>10</v>
      </c>
      <c r="E154">
        <v>3</v>
      </c>
      <c r="F154">
        <v>17.260000000000002</v>
      </c>
      <c r="G154">
        <v>2.74</v>
      </c>
    </row>
    <row r="155" spans="1:7" x14ac:dyDescent="0.35">
      <c r="A155" t="s">
        <v>11</v>
      </c>
      <c r="B155" t="s">
        <v>8</v>
      </c>
      <c r="C155" t="s">
        <v>9</v>
      </c>
      <c r="D155" t="s">
        <v>10</v>
      </c>
      <c r="E155">
        <v>4</v>
      </c>
      <c r="F155">
        <v>24.55</v>
      </c>
      <c r="G155">
        <v>2</v>
      </c>
    </row>
    <row r="156" spans="1:7" x14ac:dyDescent="0.35">
      <c r="A156" t="s">
        <v>11</v>
      </c>
      <c r="B156" t="s">
        <v>8</v>
      </c>
      <c r="C156" t="s">
        <v>9</v>
      </c>
      <c r="D156" t="s">
        <v>10</v>
      </c>
      <c r="E156">
        <v>4</v>
      </c>
      <c r="F156">
        <v>19.77</v>
      </c>
      <c r="G156">
        <v>2</v>
      </c>
    </row>
    <row r="157" spans="1:7" x14ac:dyDescent="0.35">
      <c r="A157" t="s">
        <v>7</v>
      </c>
      <c r="B157" t="s">
        <v>8</v>
      </c>
      <c r="C157" t="s">
        <v>9</v>
      </c>
      <c r="D157" t="s">
        <v>10</v>
      </c>
      <c r="E157">
        <v>5</v>
      </c>
      <c r="F157">
        <v>29.85</v>
      </c>
      <c r="G157">
        <v>5.14</v>
      </c>
    </row>
    <row r="158" spans="1:7" x14ac:dyDescent="0.35">
      <c r="A158" t="s">
        <v>11</v>
      </c>
      <c r="B158" t="s">
        <v>8</v>
      </c>
      <c r="C158" t="s">
        <v>9</v>
      </c>
      <c r="D158" t="s">
        <v>10</v>
      </c>
      <c r="E158">
        <v>6</v>
      </c>
      <c r="F158">
        <v>48.17</v>
      </c>
      <c r="G158">
        <v>5</v>
      </c>
    </row>
    <row r="159" spans="1:7" x14ac:dyDescent="0.35">
      <c r="A159" t="s">
        <v>7</v>
      </c>
      <c r="B159" t="s">
        <v>8</v>
      </c>
      <c r="C159" t="s">
        <v>9</v>
      </c>
      <c r="D159" t="s">
        <v>10</v>
      </c>
      <c r="E159">
        <v>4</v>
      </c>
      <c r="F159">
        <v>25</v>
      </c>
      <c r="G159">
        <v>3.75</v>
      </c>
    </row>
    <row r="160" spans="1:7" x14ac:dyDescent="0.35">
      <c r="A160" t="s">
        <v>7</v>
      </c>
      <c r="B160" t="s">
        <v>8</v>
      </c>
      <c r="C160" t="s">
        <v>9</v>
      </c>
      <c r="D160" t="s">
        <v>10</v>
      </c>
      <c r="E160">
        <v>2</v>
      </c>
      <c r="F160">
        <v>13.39</v>
      </c>
      <c r="G160">
        <v>2.61</v>
      </c>
    </row>
    <row r="161" spans="1:7" x14ac:dyDescent="0.35">
      <c r="A161" t="s">
        <v>11</v>
      </c>
      <c r="B161" t="s">
        <v>8</v>
      </c>
      <c r="C161" t="s">
        <v>9</v>
      </c>
      <c r="D161" t="s">
        <v>10</v>
      </c>
      <c r="E161">
        <v>4</v>
      </c>
      <c r="F161">
        <v>16.489999999999998</v>
      </c>
      <c r="G161">
        <v>2</v>
      </c>
    </row>
    <row r="162" spans="1:7" x14ac:dyDescent="0.35">
      <c r="A162" t="s">
        <v>11</v>
      </c>
      <c r="B162" t="s">
        <v>8</v>
      </c>
      <c r="C162" t="s">
        <v>9</v>
      </c>
      <c r="D162" t="s">
        <v>10</v>
      </c>
      <c r="E162">
        <v>4</v>
      </c>
      <c r="F162">
        <v>21.5</v>
      </c>
      <c r="G162">
        <v>3.5</v>
      </c>
    </row>
    <row r="163" spans="1:7" x14ac:dyDescent="0.35">
      <c r="A163" t="s">
        <v>11</v>
      </c>
      <c r="B163" t="s">
        <v>8</v>
      </c>
      <c r="C163" t="s">
        <v>9</v>
      </c>
      <c r="D163" t="s">
        <v>10</v>
      </c>
      <c r="E163">
        <v>2</v>
      </c>
      <c r="F163">
        <v>12.66</v>
      </c>
      <c r="G163">
        <v>2.5</v>
      </c>
    </row>
    <row r="164" spans="1:7" x14ac:dyDescent="0.35">
      <c r="A164" t="s">
        <v>7</v>
      </c>
      <c r="B164" t="s">
        <v>8</v>
      </c>
      <c r="C164" t="s">
        <v>9</v>
      </c>
      <c r="D164" t="s">
        <v>10</v>
      </c>
      <c r="E164">
        <v>3</v>
      </c>
      <c r="F164">
        <v>16.21</v>
      </c>
      <c r="G164">
        <v>2</v>
      </c>
    </row>
    <row r="165" spans="1:7" x14ac:dyDescent="0.35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13.81</v>
      </c>
      <c r="G165">
        <v>2</v>
      </c>
    </row>
    <row r="166" spans="1:7" x14ac:dyDescent="0.35">
      <c r="A166" t="s">
        <v>7</v>
      </c>
      <c r="B166" t="s">
        <v>22</v>
      </c>
      <c r="C166" t="s">
        <v>9</v>
      </c>
      <c r="D166" t="s">
        <v>10</v>
      </c>
      <c r="E166">
        <v>2</v>
      </c>
      <c r="F166">
        <v>17.510000000000002</v>
      </c>
      <c r="G166">
        <v>3</v>
      </c>
    </row>
    <row r="167" spans="1:7" x14ac:dyDescent="0.35">
      <c r="A167" t="s">
        <v>11</v>
      </c>
      <c r="B167" t="s">
        <v>8</v>
      </c>
      <c r="C167" t="s">
        <v>9</v>
      </c>
      <c r="D167" t="s">
        <v>10</v>
      </c>
      <c r="E167">
        <v>3</v>
      </c>
      <c r="F167">
        <v>24.52</v>
      </c>
      <c r="G167">
        <v>3.48</v>
      </c>
    </row>
    <row r="168" spans="1:7" x14ac:dyDescent="0.35">
      <c r="A168" t="s">
        <v>11</v>
      </c>
      <c r="B168" t="s">
        <v>8</v>
      </c>
      <c r="C168" t="s">
        <v>9</v>
      </c>
      <c r="D168" t="s">
        <v>10</v>
      </c>
      <c r="E168">
        <v>2</v>
      </c>
      <c r="F168">
        <v>20.76</v>
      </c>
      <c r="G168">
        <v>2.2400000000000002</v>
      </c>
    </row>
    <row r="169" spans="1:7" x14ac:dyDescent="0.35">
      <c r="A169" t="s">
        <v>11</v>
      </c>
      <c r="B169" t="s">
        <v>8</v>
      </c>
      <c r="C169" t="s">
        <v>9</v>
      </c>
      <c r="D169" t="s">
        <v>10</v>
      </c>
      <c r="E169">
        <v>4</v>
      </c>
      <c r="F169">
        <v>31.71</v>
      </c>
      <c r="G169">
        <v>4.5</v>
      </c>
    </row>
    <row r="170" spans="1:7" x14ac:dyDescent="0.35">
      <c r="A170" t="s">
        <v>7</v>
      </c>
      <c r="B170" t="s">
        <v>22</v>
      </c>
      <c r="C170" t="s">
        <v>21</v>
      </c>
      <c r="D170" t="s">
        <v>10</v>
      </c>
      <c r="E170">
        <v>2</v>
      </c>
      <c r="F170">
        <v>10.59</v>
      </c>
      <c r="G170">
        <v>1.61</v>
      </c>
    </row>
    <row r="171" spans="1:7" x14ac:dyDescent="0.35">
      <c r="A171" t="s">
        <v>7</v>
      </c>
      <c r="B171" t="s">
        <v>22</v>
      </c>
      <c r="C171" t="s">
        <v>21</v>
      </c>
      <c r="D171" t="s">
        <v>10</v>
      </c>
      <c r="E171">
        <v>2</v>
      </c>
      <c r="F171">
        <v>10.63</v>
      </c>
      <c r="G171">
        <v>2</v>
      </c>
    </row>
    <row r="172" spans="1:7" x14ac:dyDescent="0.35">
      <c r="A172" t="s">
        <v>11</v>
      </c>
      <c r="B172" t="s">
        <v>22</v>
      </c>
      <c r="C172" t="s">
        <v>21</v>
      </c>
      <c r="D172" t="s">
        <v>10</v>
      </c>
      <c r="E172">
        <v>3</v>
      </c>
      <c r="F172">
        <v>50.81</v>
      </c>
      <c r="G172">
        <v>10</v>
      </c>
    </row>
    <row r="173" spans="1:7" x14ac:dyDescent="0.35">
      <c r="A173" t="s">
        <v>11</v>
      </c>
      <c r="B173" t="s">
        <v>22</v>
      </c>
      <c r="C173" t="s">
        <v>21</v>
      </c>
      <c r="D173" t="s">
        <v>10</v>
      </c>
      <c r="E173">
        <v>2</v>
      </c>
      <c r="F173">
        <v>15.81</v>
      </c>
      <c r="G173">
        <v>3.16</v>
      </c>
    </row>
    <row r="174" spans="1:7" x14ac:dyDescent="0.35">
      <c r="A174" t="s">
        <v>11</v>
      </c>
      <c r="B174" t="s">
        <v>22</v>
      </c>
      <c r="C174" t="s">
        <v>9</v>
      </c>
      <c r="D174" t="s">
        <v>10</v>
      </c>
      <c r="E174">
        <v>2</v>
      </c>
      <c r="F174">
        <v>7.25</v>
      </c>
      <c r="G174">
        <v>5.15</v>
      </c>
    </row>
    <row r="175" spans="1:7" x14ac:dyDescent="0.35">
      <c r="A175" t="s">
        <v>11</v>
      </c>
      <c r="B175" t="s">
        <v>22</v>
      </c>
      <c r="C175" t="s">
        <v>9</v>
      </c>
      <c r="D175" t="s">
        <v>10</v>
      </c>
      <c r="E175">
        <v>2</v>
      </c>
      <c r="F175">
        <v>31.85</v>
      </c>
      <c r="G175">
        <v>3.18</v>
      </c>
    </row>
    <row r="176" spans="1:7" x14ac:dyDescent="0.35">
      <c r="A176" t="s">
        <v>11</v>
      </c>
      <c r="B176" t="s">
        <v>22</v>
      </c>
      <c r="C176" t="s">
        <v>9</v>
      </c>
      <c r="D176" t="s">
        <v>10</v>
      </c>
      <c r="E176">
        <v>2</v>
      </c>
      <c r="F176">
        <v>16.82</v>
      </c>
      <c r="G176">
        <v>4</v>
      </c>
    </row>
    <row r="177" spans="1:7" x14ac:dyDescent="0.35">
      <c r="A177" t="s">
        <v>11</v>
      </c>
      <c r="B177" t="s">
        <v>22</v>
      </c>
      <c r="C177" t="s">
        <v>9</v>
      </c>
      <c r="D177" t="s">
        <v>10</v>
      </c>
      <c r="E177">
        <v>2</v>
      </c>
      <c r="F177">
        <v>32.9</v>
      </c>
      <c r="G177">
        <v>3.11</v>
      </c>
    </row>
    <row r="178" spans="1:7" x14ac:dyDescent="0.35">
      <c r="A178" t="s">
        <v>11</v>
      </c>
      <c r="B178" t="s">
        <v>22</v>
      </c>
      <c r="C178" t="s">
        <v>9</v>
      </c>
      <c r="D178" t="s">
        <v>10</v>
      </c>
      <c r="E178">
        <v>2</v>
      </c>
      <c r="F178">
        <v>17.89</v>
      </c>
      <c r="G178">
        <v>2</v>
      </c>
    </row>
    <row r="179" spans="1:7" x14ac:dyDescent="0.35">
      <c r="A179" t="s">
        <v>11</v>
      </c>
      <c r="B179" t="s">
        <v>22</v>
      </c>
      <c r="C179" t="s">
        <v>9</v>
      </c>
      <c r="D179" t="s">
        <v>10</v>
      </c>
      <c r="E179">
        <v>2</v>
      </c>
      <c r="F179">
        <v>14.48</v>
      </c>
      <c r="G179">
        <v>2</v>
      </c>
    </row>
    <row r="180" spans="1:7" x14ac:dyDescent="0.35">
      <c r="A180" t="s">
        <v>7</v>
      </c>
      <c r="B180" t="s">
        <v>22</v>
      </c>
      <c r="C180" t="s">
        <v>9</v>
      </c>
      <c r="D180" t="s">
        <v>10</v>
      </c>
      <c r="E180">
        <v>2</v>
      </c>
      <c r="F180">
        <v>9.6</v>
      </c>
      <c r="G180">
        <v>4</v>
      </c>
    </row>
    <row r="181" spans="1:7" x14ac:dyDescent="0.35">
      <c r="A181" t="s">
        <v>11</v>
      </c>
      <c r="B181" t="s">
        <v>22</v>
      </c>
      <c r="C181" t="s">
        <v>9</v>
      </c>
      <c r="D181" t="s">
        <v>10</v>
      </c>
      <c r="E181">
        <v>2</v>
      </c>
      <c r="F181">
        <v>34.630000000000003</v>
      </c>
      <c r="G181">
        <v>3.55</v>
      </c>
    </row>
    <row r="182" spans="1:7" x14ac:dyDescent="0.35">
      <c r="A182" t="s">
        <v>11</v>
      </c>
      <c r="B182" t="s">
        <v>22</v>
      </c>
      <c r="C182" t="s">
        <v>9</v>
      </c>
      <c r="D182" t="s">
        <v>10</v>
      </c>
      <c r="E182">
        <v>4</v>
      </c>
      <c r="F182">
        <v>34.65</v>
      </c>
      <c r="G182">
        <v>3.68</v>
      </c>
    </row>
    <row r="183" spans="1:7" x14ac:dyDescent="0.35">
      <c r="A183" t="s">
        <v>11</v>
      </c>
      <c r="B183" t="s">
        <v>22</v>
      </c>
      <c r="C183" t="s">
        <v>9</v>
      </c>
      <c r="D183" t="s">
        <v>10</v>
      </c>
      <c r="E183">
        <v>2</v>
      </c>
      <c r="F183">
        <v>23.33</v>
      </c>
      <c r="G183">
        <v>5.65</v>
      </c>
    </row>
    <row r="184" spans="1:7" x14ac:dyDescent="0.35">
      <c r="A184" t="s">
        <v>11</v>
      </c>
      <c r="B184" t="s">
        <v>22</v>
      </c>
      <c r="C184" t="s">
        <v>9</v>
      </c>
      <c r="D184" t="s">
        <v>10</v>
      </c>
      <c r="E184">
        <v>3</v>
      </c>
      <c r="F184">
        <v>45.35</v>
      </c>
      <c r="G184">
        <v>3.5</v>
      </c>
    </row>
    <row r="185" spans="1:7" x14ac:dyDescent="0.35">
      <c r="A185" t="s">
        <v>11</v>
      </c>
      <c r="B185" t="s">
        <v>22</v>
      </c>
      <c r="C185" t="s">
        <v>9</v>
      </c>
      <c r="D185" t="s">
        <v>10</v>
      </c>
      <c r="E185">
        <v>4</v>
      </c>
      <c r="F185">
        <v>23.17</v>
      </c>
      <c r="G185">
        <v>6.5</v>
      </c>
    </row>
    <row r="186" spans="1:7" x14ac:dyDescent="0.35">
      <c r="A186" t="s">
        <v>11</v>
      </c>
      <c r="B186" t="s">
        <v>22</v>
      </c>
      <c r="C186" t="s">
        <v>9</v>
      </c>
      <c r="D186" t="s">
        <v>10</v>
      </c>
      <c r="E186">
        <v>2</v>
      </c>
      <c r="F186">
        <v>40.549999999999997</v>
      </c>
      <c r="G186">
        <v>3</v>
      </c>
    </row>
    <row r="187" spans="1:7" x14ac:dyDescent="0.35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20.69</v>
      </c>
      <c r="G187">
        <v>5</v>
      </c>
    </row>
    <row r="188" spans="1:7" x14ac:dyDescent="0.35">
      <c r="A188" t="s">
        <v>7</v>
      </c>
      <c r="B188" t="s">
        <v>22</v>
      </c>
      <c r="C188" t="s">
        <v>9</v>
      </c>
      <c r="D188" t="s">
        <v>10</v>
      </c>
      <c r="E188">
        <v>3</v>
      </c>
      <c r="F188">
        <v>20.9</v>
      </c>
      <c r="G188">
        <v>3.5</v>
      </c>
    </row>
    <row r="189" spans="1:7" x14ac:dyDescent="0.35">
      <c r="A189" t="s">
        <v>11</v>
      </c>
      <c r="B189" t="s">
        <v>22</v>
      </c>
      <c r="C189" t="s">
        <v>9</v>
      </c>
      <c r="D189" t="s">
        <v>10</v>
      </c>
      <c r="E189">
        <v>5</v>
      </c>
      <c r="F189">
        <v>30.46</v>
      </c>
      <c r="G189">
        <v>2</v>
      </c>
    </row>
    <row r="190" spans="1:7" x14ac:dyDescent="0.35">
      <c r="A190" t="s">
        <v>7</v>
      </c>
      <c r="B190" t="s">
        <v>22</v>
      </c>
      <c r="C190" t="s">
        <v>9</v>
      </c>
      <c r="D190" t="s">
        <v>10</v>
      </c>
      <c r="E190">
        <v>3</v>
      </c>
      <c r="F190">
        <v>18.149999999999999</v>
      </c>
      <c r="G190">
        <v>3.5</v>
      </c>
    </row>
    <row r="191" spans="1:7" x14ac:dyDescent="0.35">
      <c r="A191" t="s">
        <v>11</v>
      </c>
      <c r="B191" t="s">
        <v>22</v>
      </c>
      <c r="C191" t="s">
        <v>9</v>
      </c>
      <c r="D191" t="s">
        <v>10</v>
      </c>
      <c r="E191">
        <v>3</v>
      </c>
      <c r="F191">
        <v>23.1</v>
      </c>
      <c r="G191">
        <v>4</v>
      </c>
    </row>
    <row r="192" spans="1:7" x14ac:dyDescent="0.35">
      <c r="A192" t="s">
        <v>11</v>
      </c>
      <c r="B192" t="s">
        <v>22</v>
      </c>
      <c r="C192" t="s">
        <v>9</v>
      </c>
      <c r="D192" t="s">
        <v>10</v>
      </c>
      <c r="E192">
        <v>2</v>
      </c>
      <c r="F192">
        <v>15.69</v>
      </c>
      <c r="G192">
        <v>1.5</v>
      </c>
    </row>
    <row r="193" spans="1:7" x14ac:dyDescent="0.35">
      <c r="A193" t="s">
        <v>7</v>
      </c>
      <c r="B193" t="s">
        <v>22</v>
      </c>
      <c r="C193" t="s">
        <v>23</v>
      </c>
      <c r="D193" t="s">
        <v>24</v>
      </c>
      <c r="E193">
        <v>2</v>
      </c>
      <c r="F193">
        <v>19.809999999999999</v>
      </c>
      <c r="G193">
        <v>4.1900000000000004</v>
      </c>
    </row>
    <row r="194" spans="1:7" x14ac:dyDescent="0.35">
      <c r="A194" t="s">
        <v>11</v>
      </c>
      <c r="B194" t="s">
        <v>22</v>
      </c>
      <c r="C194" t="s">
        <v>23</v>
      </c>
      <c r="D194" t="s">
        <v>24</v>
      </c>
      <c r="E194">
        <v>2</v>
      </c>
      <c r="F194">
        <v>28.44</v>
      </c>
      <c r="G194">
        <v>2.56</v>
      </c>
    </row>
    <row r="195" spans="1:7" x14ac:dyDescent="0.35">
      <c r="A195" t="s">
        <v>11</v>
      </c>
      <c r="B195" t="s">
        <v>22</v>
      </c>
      <c r="C195" t="s">
        <v>23</v>
      </c>
      <c r="D195" t="s">
        <v>24</v>
      </c>
      <c r="E195">
        <v>2</v>
      </c>
      <c r="F195">
        <v>15.48</v>
      </c>
      <c r="G195">
        <v>2.02</v>
      </c>
    </row>
    <row r="196" spans="1:7" x14ac:dyDescent="0.35">
      <c r="A196" t="s">
        <v>11</v>
      </c>
      <c r="B196" t="s">
        <v>22</v>
      </c>
      <c r="C196" t="s">
        <v>23</v>
      </c>
      <c r="D196" t="s">
        <v>24</v>
      </c>
      <c r="E196">
        <v>2</v>
      </c>
      <c r="F196">
        <v>16.579999999999998</v>
      </c>
      <c r="G196">
        <v>4</v>
      </c>
    </row>
    <row r="197" spans="1:7" x14ac:dyDescent="0.35">
      <c r="A197" t="s">
        <v>11</v>
      </c>
      <c r="B197" t="s">
        <v>8</v>
      </c>
      <c r="C197" t="s">
        <v>23</v>
      </c>
      <c r="D197" t="s">
        <v>24</v>
      </c>
      <c r="E197">
        <v>2</v>
      </c>
      <c r="F197">
        <v>7.56</v>
      </c>
      <c r="G197">
        <v>1.44</v>
      </c>
    </row>
    <row r="198" spans="1:7" x14ac:dyDescent="0.35">
      <c r="A198" t="s">
        <v>11</v>
      </c>
      <c r="B198" t="s">
        <v>22</v>
      </c>
      <c r="C198" t="s">
        <v>23</v>
      </c>
      <c r="D198" t="s">
        <v>24</v>
      </c>
      <c r="E198">
        <v>2</v>
      </c>
      <c r="F198">
        <v>10.34</v>
      </c>
      <c r="G198">
        <v>2</v>
      </c>
    </row>
    <row r="199" spans="1:7" x14ac:dyDescent="0.35">
      <c r="A199" t="s">
        <v>7</v>
      </c>
      <c r="B199" t="s">
        <v>22</v>
      </c>
      <c r="C199" t="s">
        <v>23</v>
      </c>
      <c r="D199" t="s">
        <v>24</v>
      </c>
      <c r="E199">
        <v>4</v>
      </c>
      <c r="F199">
        <v>43.11</v>
      </c>
      <c r="G199">
        <v>5</v>
      </c>
    </row>
    <row r="200" spans="1:7" x14ac:dyDescent="0.35">
      <c r="A200" t="s">
        <v>7</v>
      </c>
      <c r="B200" t="s">
        <v>22</v>
      </c>
      <c r="C200" t="s">
        <v>23</v>
      </c>
      <c r="D200" t="s">
        <v>24</v>
      </c>
      <c r="E200">
        <v>2</v>
      </c>
      <c r="F200">
        <v>13</v>
      </c>
      <c r="G200">
        <v>2</v>
      </c>
    </row>
    <row r="201" spans="1:7" x14ac:dyDescent="0.35">
      <c r="A201" t="s">
        <v>11</v>
      </c>
      <c r="B201" t="s">
        <v>22</v>
      </c>
      <c r="C201" t="s">
        <v>23</v>
      </c>
      <c r="D201" t="s">
        <v>24</v>
      </c>
      <c r="E201">
        <v>2</v>
      </c>
      <c r="F201">
        <v>13.51</v>
      </c>
      <c r="G201">
        <v>2</v>
      </c>
    </row>
    <row r="202" spans="1:7" x14ac:dyDescent="0.35">
      <c r="A202" t="s">
        <v>11</v>
      </c>
      <c r="B202" t="s">
        <v>22</v>
      </c>
      <c r="C202" t="s">
        <v>23</v>
      </c>
      <c r="D202" t="s">
        <v>24</v>
      </c>
      <c r="E202">
        <v>3</v>
      </c>
      <c r="F202">
        <v>18.71</v>
      </c>
      <c r="G202">
        <v>4</v>
      </c>
    </row>
    <row r="203" spans="1:7" x14ac:dyDescent="0.35">
      <c r="A203" t="s">
        <v>7</v>
      </c>
      <c r="B203" t="s">
        <v>22</v>
      </c>
      <c r="C203" t="s">
        <v>23</v>
      </c>
      <c r="D203" t="s">
        <v>24</v>
      </c>
      <c r="E203">
        <v>2</v>
      </c>
      <c r="F203">
        <v>12.74</v>
      </c>
      <c r="G203">
        <v>2.0099999999999998</v>
      </c>
    </row>
    <row r="204" spans="1:7" x14ac:dyDescent="0.35">
      <c r="A204" t="s">
        <v>7</v>
      </c>
      <c r="B204" t="s">
        <v>22</v>
      </c>
      <c r="C204" t="s">
        <v>23</v>
      </c>
      <c r="D204" t="s">
        <v>24</v>
      </c>
      <c r="E204">
        <v>2</v>
      </c>
      <c r="F204">
        <v>16.399999999999999</v>
      </c>
      <c r="G204">
        <v>2.5</v>
      </c>
    </row>
    <row r="205" spans="1:7" x14ac:dyDescent="0.35">
      <c r="A205" t="s">
        <v>11</v>
      </c>
      <c r="B205" t="s">
        <v>22</v>
      </c>
      <c r="C205" t="s">
        <v>23</v>
      </c>
      <c r="D205" t="s">
        <v>24</v>
      </c>
      <c r="E205">
        <v>4</v>
      </c>
      <c r="F205">
        <v>20.53</v>
      </c>
      <c r="G205">
        <v>4</v>
      </c>
    </row>
    <row r="206" spans="1:7" x14ac:dyDescent="0.35">
      <c r="A206" t="s">
        <v>7</v>
      </c>
      <c r="B206" t="s">
        <v>22</v>
      </c>
      <c r="C206" t="s">
        <v>23</v>
      </c>
      <c r="D206" t="s">
        <v>24</v>
      </c>
      <c r="E206">
        <v>3</v>
      </c>
      <c r="F206">
        <v>16.47</v>
      </c>
      <c r="G206">
        <v>3.23</v>
      </c>
    </row>
    <row r="207" spans="1:7" x14ac:dyDescent="0.35">
      <c r="A207" t="s">
        <v>11</v>
      </c>
      <c r="B207" t="s">
        <v>22</v>
      </c>
      <c r="C207" t="s">
        <v>21</v>
      </c>
      <c r="D207" t="s">
        <v>10</v>
      </c>
      <c r="E207">
        <v>3</v>
      </c>
      <c r="F207">
        <v>26.59</v>
      </c>
      <c r="G207">
        <v>3.41</v>
      </c>
    </row>
    <row r="208" spans="1:7" x14ac:dyDescent="0.35">
      <c r="A208" t="s">
        <v>11</v>
      </c>
      <c r="B208" t="s">
        <v>22</v>
      </c>
      <c r="C208" t="s">
        <v>21</v>
      </c>
      <c r="D208" t="s">
        <v>10</v>
      </c>
      <c r="E208">
        <v>4</v>
      </c>
      <c r="F208">
        <v>38.729999999999997</v>
      </c>
      <c r="G208">
        <v>3</v>
      </c>
    </row>
    <row r="209" spans="1:7" x14ac:dyDescent="0.35">
      <c r="A209" t="s">
        <v>11</v>
      </c>
      <c r="B209" t="s">
        <v>22</v>
      </c>
      <c r="C209" t="s">
        <v>21</v>
      </c>
      <c r="D209" t="s">
        <v>10</v>
      </c>
      <c r="E209">
        <v>2</v>
      </c>
      <c r="F209">
        <v>24.27</v>
      </c>
      <c r="G209">
        <v>2.0299999999999998</v>
      </c>
    </row>
    <row r="210" spans="1:7" x14ac:dyDescent="0.35">
      <c r="A210" t="s">
        <v>7</v>
      </c>
      <c r="B210" t="s">
        <v>22</v>
      </c>
      <c r="C210" t="s">
        <v>21</v>
      </c>
      <c r="D210" t="s">
        <v>10</v>
      </c>
      <c r="E210">
        <v>2</v>
      </c>
      <c r="F210">
        <v>12.76</v>
      </c>
      <c r="G210">
        <v>2.23</v>
      </c>
    </row>
    <row r="211" spans="1:7" x14ac:dyDescent="0.35">
      <c r="A211" t="s">
        <v>11</v>
      </c>
      <c r="B211" t="s">
        <v>22</v>
      </c>
      <c r="C211" t="s">
        <v>21</v>
      </c>
      <c r="D211" t="s">
        <v>10</v>
      </c>
      <c r="E211">
        <v>3</v>
      </c>
      <c r="F211">
        <v>30.06</v>
      </c>
      <c r="G211">
        <v>2</v>
      </c>
    </row>
    <row r="212" spans="1:7" x14ac:dyDescent="0.35">
      <c r="A212" t="s">
        <v>11</v>
      </c>
      <c r="B212" t="s">
        <v>22</v>
      </c>
      <c r="C212" t="s">
        <v>21</v>
      </c>
      <c r="D212" t="s">
        <v>10</v>
      </c>
      <c r="E212">
        <v>4</v>
      </c>
      <c r="F212">
        <v>25.89</v>
      </c>
      <c r="G212">
        <v>5.16</v>
      </c>
    </row>
    <row r="213" spans="1:7" x14ac:dyDescent="0.35">
      <c r="A213" t="s">
        <v>11</v>
      </c>
      <c r="B213" t="s">
        <v>8</v>
      </c>
      <c r="C213" t="s">
        <v>21</v>
      </c>
      <c r="D213" t="s">
        <v>10</v>
      </c>
      <c r="E213">
        <v>4</v>
      </c>
      <c r="F213">
        <v>48.33</v>
      </c>
      <c r="G213">
        <v>9</v>
      </c>
    </row>
    <row r="214" spans="1:7" x14ac:dyDescent="0.35">
      <c r="A214" t="s">
        <v>7</v>
      </c>
      <c r="B214" t="s">
        <v>22</v>
      </c>
      <c r="C214" t="s">
        <v>21</v>
      </c>
      <c r="D214" t="s">
        <v>10</v>
      </c>
      <c r="E214">
        <v>2</v>
      </c>
      <c r="F214">
        <v>13.27</v>
      </c>
      <c r="G214">
        <v>2.5</v>
      </c>
    </row>
    <row r="215" spans="1:7" x14ac:dyDescent="0.35">
      <c r="A215" t="s">
        <v>7</v>
      </c>
      <c r="B215" t="s">
        <v>22</v>
      </c>
      <c r="C215" t="s">
        <v>21</v>
      </c>
      <c r="D215" t="s">
        <v>10</v>
      </c>
      <c r="E215">
        <v>3</v>
      </c>
      <c r="F215">
        <v>28.17</v>
      </c>
      <c r="G215">
        <v>6.5</v>
      </c>
    </row>
    <row r="216" spans="1:7" x14ac:dyDescent="0.35">
      <c r="A216" t="s">
        <v>7</v>
      </c>
      <c r="B216" t="s">
        <v>22</v>
      </c>
      <c r="C216" t="s">
        <v>21</v>
      </c>
      <c r="D216" t="s">
        <v>10</v>
      </c>
      <c r="E216">
        <v>2</v>
      </c>
      <c r="F216">
        <v>12.9</v>
      </c>
      <c r="G216">
        <v>1.1000000000000001</v>
      </c>
    </row>
    <row r="217" spans="1:7" x14ac:dyDescent="0.35">
      <c r="A217" t="s">
        <v>11</v>
      </c>
      <c r="B217" t="s">
        <v>22</v>
      </c>
      <c r="C217" t="s">
        <v>21</v>
      </c>
      <c r="D217" t="s">
        <v>10</v>
      </c>
      <c r="E217">
        <v>5</v>
      </c>
      <c r="F217">
        <v>28.15</v>
      </c>
      <c r="G217">
        <v>3</v>
      </c>
    </row>
    <row r="218" spans="1:7" x14ac:dyDescent="0.35">
      <c r="A218" t="s">
        <v>11</v>
      </c>
      <c r="B218" t="s">
        <v>22</v>
      </c>
      <c r="C218" t="s">
        <v>21</v>
      </c>
      <c r="D218" t="s">
        <v>10</v>
      </c>
      <c r="E218">
        <v>2</v>
      </c>
      <c r="F218">
        <v>11.59</v>
      </c>
      <c r="G218">
        <v>1.5</v>
      </c>
    </row>
    <row r="219" spans="1:7" x14ac:dyDescent="0.35">
      <c r="A219" t="s">
        <v>11</v>
      </c>
      <c r="B219" t="s">
        <v>22</v>
      </c>
      <c r="C219" t="s">
        <v>21</v>
      </c>
      <c r="D219" t="s">
        <v>10</v>
      </c>
      <c r="E219">
        <v>2</v>
      </c>
      <c r="F219">
        <v>7.74</v>
      </c>
      <c r="G219">
        <v>1.44</v>
      </c>
    </row>
    <row r="220" spans="1:7" x14ac:dyDescent="0.35">
      <c r="A220" t="s">
        <v>7</v>
      </c>
      <c r="B220" t="s">
        <v>22</v>
      </c>
      <c r="C220" t="s">
        <v>21</v>
      </c>
      <c r="D220" t="s">
        <v>10</v>
      </c>
      <c r="E220">
        <v>4</v>
      </c>
      <c r="F220">
        <v>30.14</v>
      </c>
      <c r="G220">
        <v>3.09</v>
      </c>
    </row>
    <row r="221" spans="1:7" x14ac:dyDescent="0.35">
      <c r="A221" t="s">
        <v>11</v>
      </c>
      <c r="B221" t="s">
        <v>22</v>
      </c>
      <c r="C221" t="s">
        <v>25</v>
      </c>
      <c r="D221" t="s">
        <v>24</v>
      </c>
      <c r="E221">
        <v>2</v>
      </c>
      <c r="F221">
        <v>12.16</v>
      </c>
      <c r="G221">
        <v>2.2000000000000002</v>
      </c>
    </row>
    <row r="222" spans="1:7" x14ac:dyDescent="0.35">
      <c r="A222" t="s">
        <v>7</v>
      </c>
      <c r="B222" t="s">
        <v>22</v>
      </c>
      <c r="C222" t="s">
        <v>25</v>
      </c>
      <c r="D222" t="s">
        <v>24</v>
      </c>
      <c r="E222">
        <v>2</v>
      </c>
      <c r="F222">
        <v>13.42</v>
      </c>
      <c r="G222">
        <v>3.48</v>
      </c>
    </row>
    <row r="223" spans="1:7" x14ac:dyDescent="0.35">
      <c r="A223" t="s">
        <v>11</v>
      </c>
      <c r="B223" t="s">
        <v>22</v>
      </c>
      <c r="C223" t="s">
        <v>25</v>
      </c>
      <c r="D223" t="s">
        <v>24</v>
      </c>
      <c r="E223">
        <v>1</v>
      </c>
      <c r="F223">
        <v>8.58</v>
      </c>
      <c r="G223">
        <v>1.92</v>
      </c>
    </row>
    <row r="224" spans="1:7" x14ac:dyDescent="0.35">
      <c r="A224" t="s">
        <v>7</v>
      </c>
      <c r="B224" t="s">
        <v>8</v>
      </c>
      <c r="C224" t="s">
        <v>25</v>
      </c>
      <c r="D224" t="s">
        <v>24</v>
      </c>
      <c r="E224">
        <v>3</v>
      </c>
      <c r="F224">
        <v>15.98</v>
      </c>
      <c r="G224">
        <v>3</v>
      </c>
    </row>
    <row r="225" spans="1:7" x14ac:dyDescent="0.35">
      <c r="A225" t="s">
        <v>11</v>
      </c>
      <c r="B225" t="s">
        <v>22</v>
      </c>
      <c r="C225" t="s">
        <v>25</v>
      </c>
      <c r="D225" t="s">
        <v>24</v>
      </c>
      <c r="E225">
        <v>2</v>
      </c>
      <c r="F225">
        <v>13.42</v>
      </c>
      <c r="G225">
        <v>1.58</v>
      </c>
    </row>
    <row r="226" spans="1:7" x14ac:dyDescent="0.35">
      <c r="A226" t="s">
        <v>7</v>
      </c>
      <c r="B226" t="s">
        <v>22</v>
      </c>
      <c r="C226" t="s">
        <v>25</v>
      </c>
      <c r="D226" t="s">
        <v>24</v>
      </c>
      <c r="E226">
        <v>2</v>
      </c>
      <c r="F226">
        <v>16.27</v>
      </c>
      <c r="G226">
        <v>2.5</v>
      </c>
    </row>
    <row r="227" spans="1:7" x14ac:dyDescent="0.35">
      <c r="A227" t="s">
        <v>7</v>
      </c>
      <c r="B227" t="s">
        <v>22</v>
      </c>
      <c r="C227" t="s">
        <v>25</v>
      </c>
      <c r="D227" t="s">
        <v>24</v>
      </c>
      <c r="E227">
        <v>2</v>
      </c>
      <c r="F227">
        <v>10.09</v>
      </c>
      <c r="G227">
        <v>2</v>
      </c>
    </row>
    <row r="228" spans="1:7" x14ac:dyDescent="0.35">
      <c r="A228" t="s">
        <v>11</v>
      </c>
      <c r="B228" t="s">
        <v>8</v>
      </c>
      <c r="C228" t="s">
        <v>21</v>
      </c>
      <c r="D228" t="s">
        <v>10</v>
      </c>
      <c r="E228">
        <v>4</v>
      </c>
      <c r="F228">
        <v>20.45</v>
      </c>
      <c r="G228">
        <v>3</v>
      </c>
    </row>
    <row r="229" spans="1:7" x14ac:dyDescent="0.35">
      <c r="A229" t="s">
        <v>11</v>
      </c>
      <c r="B229" t="s">
        <v>8</v>
      </c>
      <c r="C229" t="s">
        <v>21</v>
      </c>
      <c r="D229" t="s">
        <v>10</v>
      </c>
      <c r="E229">
        <v>2</v>
      </c>
      <c r="F229">
        <v>13.28</v>
      </c>
      <c r="G229">
        <v>2.72</v>
      </c>
    </row>
    <row r="230" spans="1:7" x14ac:dyDescent="0.35">
      <c r="A230" t="s">
        <v>7</v>
      </c>
      <c r="B230" t="s">
        <v>22</v>
      </c>
      <c r="C230" t="s">
        <v>21</v>
      </c>
      <c r="D230" t="s">
        <v>10</v>
      </c>
      <c r="E230">
        <v>2</v>
      </c>
      <c r="F230">
        <v>22.12</v>
      </c>
      <c r="G230">
        <v>2.88</v>
      </c>
    </row>
    <row r="231" spans="1:7" x14ac:dyDescent="0.35">
      <c r="A231" t="s">
        <v>11</v>
      </c>
      <c r="B231" t="s">
        <v>22</v>
      </c>
      <c r="C231" t="s">
        <v>21</v>
      </c>
      <c r="D231" t="s">
        <v>10</v>
      </c>
      <c r="E231">
        <v>4</v>
      </c>
      <c r="F231">
        <v>24.01</v>
      </c>
      <c r="G231">
        <v>2</v>
      </c>
    </row>
    <row r="232" spans="1:7" x14ac:dyDescent="0.35">
      <c r="A232" t="s">
        <v>11</v>
      </c>
      <c r="B232" t="s">
        <v>22</v>
      </c>
      <c r="C232" t="s">
        <v>21</v>
      </c>
      <c r="D232" t="s">
        <v>10</v>
      </c>
      <c r="E232">
        <v>3</v>
      </c>
      <c r="F232">
        <v>15.69</v>
      </c>
      <c r="G232">
        <v>3</v>
      </c>
    </row>
    <row r="233" spans="1:7" x14ac:dyDescent="0.35">
      <c r="A233" t="s">
        <v>11</v>
      </c>
      <c r="B233" t="s">
        <v>8</v>
      </c>
      <c r="C233" t="s">
        <v>21</v>
      </c>
      <c r="D233" t="s">
        <v>10</v>
      </c>
      <c r="E233">
        <v>2</v>
      </c>
      <c r="F233">
        <v>11.61</v>
      </c>
      <c r="G233">
        <v>3.39</v>
      </c>
    </row>
    <row r="234" spans="1:7" x14ac:dyDescent="0.35">
      <c r="A234" t="s">
        <v>11</v>
      </c>
      <c r="B234" t="s">
        <v>8</v>
      </c>
      <c r="C234" t="s">
        <v>21</v>
      </c>
      <c r="D234" t="s">
        <v>10</v>
      </c>
      <c r="E234">
        <v>2</v>
      </c>
      <c r="F234">
        <v>10.77</v>
      </c>
      <c r="G234">
        <v>1.47</v>
      </c>
    </row>
    <row r="235" spans="1:7" x14ac:dyDescent="0.35">
      <c r="A235" t="s">
        <v>11</v>
      </c>
      <c r="B235" t="s">
        <v>22</v>
      </c>
      <c r="C235" t="s">
        <v>21</v>
      </c>
      <c r="D235" t="s">
        <v>10</v>
      </c>
      <c r="E235">
        <v>2</v>
      </c>
      <c r="F235">
        <v>15.53</v>
      </c>
      <c r="G235">
        <v>3</v>
      </c>
    </row>
    <row r="236" spans="1:7" x14ac:dyDescent="0.35">
      <c r="A236" t="s">
        <v>11</v>
      </c>
      <c r="B236" t="s">
        <v>8</v>
      </c>
      <c r="C236" t="s">
        <v>21</v>
      </c>
      <c r="D236" t="s">
        <v>10</v>
      </c>
      <c r="E236">
        <v>2</v>
      </c>
      <c r="F236">
        <v>10.07</v>
      </c>
      <c r="G236">
        <v>1.25</v>
      </c>
    </row>
    <row r="237" spans="1:7" x14ac:dyDescent="0.35">
      <c r="A237" t="s">
        <v>11</v>
      </c>
      <c r="B237" t="s">
        <v>22</v>
      </c>
      <c r="C237" t="s">
        <v>21</v>
      </c>
      <c r="D237" t="s">
        <v>10</v>
      </c>
      <c r="E237">
        <v>2</v>
      </c>
      <c r="F237">
        <v>12.6</v>
      </c>
      <c r="G237">
        <v>1</v>
      </c>
    </row>
    <row r="238" spans="1:7" x14ac:dyDescent="0.35">
      <c r="A238" t="s">
        <v>11</v>
      </c>
      <c r="B238" t="s">
        <v>22</v>
      </c>
      <c r="C238" t="s">
        <v>21</v>
      </c>
      <c r="D238" t="s">
        <v>10</v>
      </c>
      <c r="E238">
        <v>2</v>
      </c>
      <c r="F238">
        <v>32.83</v>
      </c>
      <c r="G238">
        <v>1.17</v>
      </c>
    </row>
    <row r="239" spans="1:7" x14ac:dyDescent="0.35">
      <c r="A239" t="s">
        <v>7</v>
      </c>
      <c r="B239" t="s">
        <v>8</v>
      </c>
      <c r="C239" t="s">
        <v>21</v>
      </c>
      <c r="D239" t="s">
        <v>10</v>
      </c>
      <c r="E239">
        <v>3</v>
      </c>
      <c r="F239">
        <v>35.83</v>
      </c>
      <c r="G239">
        <v>4.67</v>
      </c>
    </row>
    <row r="240" spans="1:7" x14ac:dyDescent="0.35">
      <c r="A240" t="s">
        <v>11</v>
      </c>
      <c r="B240" t="s">
        <v>8</v>
      </c>
      <c r="C240" t="s">
        <v>21</v>
      </c>
      <c r="D240" t="s">
        <v>10</v>
      </c>
      <c r="E240">
        <v>3</v>
      </c>
      <c r="F240">
        <v>29.03</v>
      </c>
      <c r="G240">
        <v>5.92</v>
      </c>
    </row>
    <row r="241" spans="1:7" x14ac:dyDescent="0.35">
      <c r="A241" t="s">
        <v>7</v>
      </c>
      <c r="B241" t="s">
        <v>22</v>
      </c>
      <c r="C241" t="s">
        <v>21</v>
      </c>
      <c r="D241" t="s">
        <v>10</v>
      </c>
      <c r="E241">
        <v>2</v>
      </c>
      <c r="F241">
        <v>27.18</v>
      </c>
      <c r="G241">
        <v>2</v>
      </c>
    </row>
    <row r="242" spans="1:7" x14ac:dyDescent="0.35">
      <c r="A242" t="s">
        <v>11</v>
      </c>
      <c r="B242" t="s">
        <v>22</v>
      </c>
      <c r="C242" t="s">
        <v>21</v>
      </c>
      <c r="D242" t="s">
        <v>10</v>
      </c>
      <c r="E242">
        <v>2</v>
      </c>
      <c r="F242">
        <v>22.67</v>
      </c>
      <c r="G242">
        <v>2</v>
      </c>
    </row>
    <row r="243" spans="1:7" x14ac:dyDescent="0.35">
      <c r="A243" t="s">
        <v>11</v>
      </c>
      <c r="B243" t="s">
        <v>8</v>
      </c>
      <c r="C243" t="s">
        <v>21</v>
      </c>
      <c r="D243" t="s">
        <v>10</v>
      </c>
      <c r="E243">
        <v>2</v>
      </c>
      <c r="F243">
        <v>17.82</v>
      </c>
      <c r="G243">
        <v>1.75</v>
      </c>
    </row>
    <row r="244" spans="1:7" x14ac:dyDescent="0.35">
      <c r="A244" t="s">
        <v>7</v>
      </c>
      <c r="B244" t="s">
        <v>8</v>
      </c>
      <c r="C244" t="s">
        <v>23</v>
      </c>
      <c r="D244" t="s">
        <v>10</v>
      </c>
      <c r="E244">
        <v>2</v>
      </c>
      <c r="F244">
        <v>18.78</v>
      </c>
      <c r="G244">
        <v>3</v>
      </c>
    </row>
  </sheetData>
  <autoFilter ref="A1:G245" xr:uid="{8E47EB0B-904D-4A32-AC49-EEE4C902527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EB08-5511-4518-8396-8D1C8C1031B5}">
  <dimension ref="A1:H244"/>
  <sheetViews>
    <sheetView workbookViewId="0">
      <selection activeCell="B2" sqref="B2"/>
    </sheetView>
  </sheetViews>
  <sheetFormatPr defaultRowHeight="14.5" x14ac:dyDescent="0.35"/>
  <sheetData>
    <row r="1" spans="1:8" x14ac:dyDescent="0.35">
      <c r="A1" s="2" t="s">
        <v>0</v>
      </c>
      <c r="B1" t="s">
        <v>11</v>
      </c>
      <c r="C1" s="2" t="s">
        <v>1</v>
      </c>
      <c r="D1" t="s">
        <v>8</v>
      </c>
      <c r="E1" s="2" t="s">
        <v>2</v>
      </c>
      <c r="F1">
        <v>1</v>
      </c>
      <c r="G1" s="2" t="s">
        <v>3</v>
      </c>
      <c r="H1" t="s">
        <v>10</v>
      </c>
    </row>
    <row r="2" spans="1:8" x14ac:dyDescent="0.35">
      <c r="A2" t="s">
        <v>7</v>
      </c>
      <c r="B2">
        <f>IF($A2="Male",1,2)</f>
        <v>2</v>
      </c>
      <c r="C2" t="s">
        <v>8</v>
      </c>
      <c r="D2">
        <f>IF($C2="No",1,2)</f>
        <v>1</v>
      </c>
      <c r="E2" t="s">
        <v>9</v>
      </c>
      <c r="F2">
        <f>IF($E2="Sun",1,IF($E2="Fri",2,IF($E2="Sat",3,IF($E2="Thur",4))))</f>
        <v>1</v>
      </c>
      <c r="G2" t="s">
        <v>10</v>
      </c>
      <c r="H2">
        <f>IF($G2="Dinner",1,2)</f>
        <v>1</v>
      </c>
    </row>
    <row r="3" spans="1:8" x14ac:dyDescent="0.35">
      <c r="A3" t="s">
        <v>11</v>
      </c>
      <c r="B3">
        <f t="shared" ref="B3:B66" si="0">IF($A3="Male",1,2)</f>
        <v>1</v>
      </c>
      <c r="C3" t="s">
        <v>8</v>
      </c>
      <c r="D3">
        <f t="shared" ref="D3:D66" si="1">IF($C3="No",1,2)</f>
        <v>1</v>
      </c>
      <c r="E3" t="s">
        <v>9</v>
      </c>
      <c r="F3">
        <f t="shared" ref="F3:F66" si="2">IF($E3="Sun",1,IF($E3="Fri",2,IF($E3="Sat",3,IF($E3="Thur",4))))</f>
        <v>1</v>
      </c>
      <c r="G3" t="s">
        <v>10</v>
      </c>
      <c r="H3">
        <f t="shared" ref="H3:H66" si="3">IF($G3="Dinner",1,2)</f>
        <v>1</v>
      </c>
    </row>
    <row r="4" spans="1:8" x14ac:dyDescent="0.35">
      <c r="A4" t="s">
        <v>11</v>
      </c>
      <c r="B4">
        <f t="shared" si="0"/>
        <v>1</v>
      </c>
      <c r="C4" t="s">
        <v>8</v>
      </c>
      <c r="D4">
        <f t="shared" si="1"/>
        <v>1</v>
      </c>
      <c r="E4" t="s">
        <v>9</v>
      </c>
      <c r="F4">
        <f t="shared" si="2"/>
        <v>1</v>
      </c>
      <c r="G4" t="s">
        <v>10</v>
      </c>
      <c r="H4">
        <f t="shared" si="3"/>
        <v>1</v>
      </c>
    </row>
    <row r="5" spans="1:8" x14ac:dyDescent="0.35">
      <c r="A5" t="s">
        <v>11</v>
      </c>
      <c r="B5">
        <f t="shared" si="0"/>
        <v>1</v>
      </c>
      <c r="C5" t="s">
        <v>8</v>
      </c>
      <c r="D5">
        <f t="shared" si="1"/>
        <v>1</v>
      </c>
      <c r="E5" t="s">
        <v>9</v>
      </c>
      <c r="F5">
        <f t="shared" si="2"/>
        <v>1</v>
      </c>
      <c r="G5" t="s">
        <v>10</v>
      </c>
      <c r="H5">
        <f t="shared" si="3"/>
        <v>1</v>
      </c>
    </row>
    <row r="6" spans="1:8" x14ac:dyDescent="0.35">
      <c r="A6" t="s">
        <v>7</v>
      </c>
      <c r="B6">
        <f t="shared" si="0"/>
        <v>2</v>
      </c>
      <c r="C6" t="s">
        <v>8</v>
      </c>
      <c r="D6">
        <f t="shared" si="1"/>
        <v>1</v>
      </c>
      <c r="E6" t="s">
        <v>9</v>
      </c>
      <c r="F6">
        <f t="shared" si="2"/>
        <v>1</v>
      </c>
      <c r="G6" t="s">
        <v>10</v>
      </c>
      <c r="H6">
        <f t="shared" si="3"/>
        <v>1</v>
      </c>
    </row>
    <row r="7" spans="1:8" x14ac:dyDescent="0.35">
      <c r="A7" t="s">
        <v>11</v>
      </c>
      <c r="B7">
        <f t="shared" si="0"/>
        <v>1</v>
      </c>
      <c r="C7" t="s">
        <v>8</v>
      </c>
      <c r="D7">
        <f t="shared" si="1"/>
        <v>1</v>
      </c>
      <c r="E7" t="s">
        <v>9</v>
      </c>
      <c r="F7">
        <f t="shared" si="2"/>
        <v>1</v>
      </c>
      <c r="G7" t="s">
        <v>10</v>
      </c>
      <c r="H7">
        <f t="shared" si="3"/>
        <v>1</v>
      </c>
    </row>
    <row r="8" spans="1:8" x14ac:dyDescent="0.35">
      <c r="A8" t="s">
        <v>11</v>
      </c>
      <c r="B8">
        <f t="shared" si="0"/>
        <v>1</v>
      </c>
      <c r="C8" t="s">
        <v>8</v>
      </c>
      <c r="D8">
        <f t="shared" si="1"/>
        <v>1</v>
      </c>
      <c r="E8" t="s">
        <v>9</v>
      </c>
      <c r="F8">
        <f t="shared" si="2"/>
        <v>1</v>
      </c>
      <c r="G8" t="s">
        <v>10</v>
      </c>
      <c r="H8">
        <f t="shared" si="3"/>
        <v>1</v>
      </c>
    </row>
    <row r="9" spans="1:8" x14ac:dyDescent="0.35">
      <c r="A9" t="s">
        <v>11</v>
      </c>
      <c r="B9">
        <f t="shared" si="0"/>
        <v>1</v>
      </c>
      <c r="C9" t="s">
        <v>8</v>
      </c>
      <c r="D9">
        <f t="shared" si="1"/>
        <v>1</v>
      </c>
      <c r="E9" t="s">
        <v>9</v>
      </c>
      <c r="F9">
        <f t="shared" si="2"/>
        <v>1</v>
      </c>
      <c r="G9" t="s">
        <v>10</v>
      </c>
      <c r="H9">
        <f t="shared" si="3"/>
        <v>1</v>
      </c>
    </row>
    <row r="10" spans="1:8" x14ac:dyDescent="0.35">
      <c r="A10" t="s">
        <v>11</v>
      </c>
      <c r="B10">
        <f t="shared" si="0"/>
        <v>1</v>
      </c>
      <c r="C10" t="s">
        <v>8</v>
      </c>
      <c r="D10">
        <f t="shared" si="1"/>
        <v>1</v>
      </c>
      <c r="E10" t="s">
        <v>9</v>
      </c>
      <c r="F10">
        <f t="shared" si="2"/>
        <v>1</v>
      </c>
      <c r="G10" t="s">
        <v>10</v>
      </c>
      <c r="H10">
        <f t="shared" si="3"/>
        <v>1</v>
      </c>
    </row>
    <row r="11" spans="1:8" x14ac:dyDescent="0.35">
      <c r="A11" t="s">
        <v>11</v>
      </c>
      <c r="B11">
        <f t="shared" si="0"/>
        <v>1</v>
      </c>
      <c r="C11" t="s">
        <v>8</v>
      </c>
      <c r="D11">
        <f t="shared" si="1"/>
        <v>1</v>
      </c>
      <c r="E11" t="s">
        <v>9</v>
      </c>
      <c r="F11">
        <f t="shared" si="2"/>
        <v>1</v>
      </c>
      <c r="G11" t="s">
        <v>10</v>
      </c>
      <c r="H11">
        <f t="shared" si="3"/>
        <v>1</v>
      </c>
    </row>
    <row r="12" spans="1:8" x14ac:dyDescent="0.35">
      <c r="A12" t="s">
        <v>11</v>
      </c>
      <c r="B12">
        <f t="shared" si="0"/>
        <v>1</v>
      </c>
      <c r="C12" t="s">
        <v>8</v>
      </c>
      <c r="D12">
        <f t="shared" si="1"/>
        <v>1</v>
      </c>
      <c r="E12" t="s">
        <v>9</v>
      </c>
      <c r="F12">
        <f t="shared" si="2"/>
        <v>1</v>
      </c>
      <c r="G12" t="s">
        <v>10</v>
      </c>
      <c r="H12">
        <f t="shared" si="3"/>
        <v>1</v>
      </c>
    </row>
    <row r="13" spans="1:8" x14ac:dyDescent="0.35">
      <c r="A13" t="s">
        <v>7</v>
      </c>
      <c r="B13">
        <f t="shared" si="0"/>
        <v>2</v>
      </c>
      <c r="C13" t="s">
        <v>8</v>
      </c>
      <c r="D13">
        <f t="shared" si="1"/>
        <v>1</v>
      </c>
      <c r="E13" t="s">
        <v>9</v>
      </c>
      <c r="F13">
        <f t="shared" si="2"/>
        <v>1</v>
      </c>
      <c r="G13" t="s">
        <v>10</v>
      </c>
      <c r="H13">
        <f t="shared" si="3"/>
        <v>1</v>
      </c>
    </row>
    <row r="14" spans="1:8" x14ac:dyDescent="0.35">
      <c r="A14" t="s">
        <v>11</v>
      </c>
      <c r="B14">
        <f t="shared" si="0"/>
        <v>1</v>
      </c>
      <c r="C14" t="s">
        <v>8</v>
      </c>
      <c r="D14">
        <f t="shared" si="1"/>
        <v>1</v>
      </c>
      <c r="E14" t="s">
        <v>9</v>
      </c>
      <c r="F14">
        <f t="shared" si="2"/>
        <v>1</v>
      </c>
      <c r="G14" t="s">
        <v>10</v>
      </c>
      <c r="H14">
        <f t="shared" si="3"/>
        <v>1</v>
      </c>
    </row>
    <row r="15" spans="1:8" x14ac:dyDescent="0.35">
      <c r="A15" t="s">
        <v>11</v>
      </c>
      <c r="B15">
        <f t="shared" si="0"/>
        <v>1</v>
      </c>
      <c r="C15" t="s">
        <v>8</v>
      </c>
      <c r="D15">
        <f t="shared" si="1"/>
        <v>1</v>
      </c>
      <c r="E15" t="s">
        <v>9</v>
      </c>
      <c r="F15">
        <f t="shared" si="2"/>
        <v>1</v>
      </c>
      <c r="G15" t="s">
        <v>10</v>
      </c>
      <c r="H15">
        <f t="shared" si="3"/>
        <v>1</v>
      </c>
    </row>
    <row r="16" spans="1:8" x14ac:dyDescent="0.35">
      <c r="A16" t="s">
        <v>7</v>
      </c>
      <c r="B16">
        <f t="shared" si="0"/>
        <v>2</v>
      </c>
      <c r="C16" t="s">
        <v>8</v>
      </c>
      <c r="D16">
        <f t="shared" si="1"/>
        <v>1</v>
      </c>
      <c r="E16" t="s">
        <v>9</v>
      </c>
      <c r="F16">
        <f t="shared" si="2"/>
        <v>1</v>
      </c>
      <c r="G16" t="s">
        <v>10</v>
      </c>
      <c r="H16">
        <f t="shared" si="3"/>
        <v>1</v>
      </c>
    </row>
    <row r="17" spans="1:8" x14ac:dyDescent="0.35">
      <c r="A17" t="s">
        <v>11</v>
      </c>
      <c r="B17">
        <f t="shared" si="0"/>
        <v>1</v>
      </c>
      <c r="C17" t="s">
        <v>8</v>
      </c>
      <c r="D17">
        <f t="shared" si="1"/>
        <v>1</v>
      </c>
      <c r="E17" t="s">
        <v>9</v>
      </c>
      <c r="F17">
        <f t="shared" si="2"/>
        <v>1</v>
      </c>
      <c r="G17" t="s">
        <v>10</v>
      </c>
      <c r="H17">
        <f t="shared" si="3"/>
        <v>1</v>
      </c>
    </row>
    <row r="18" spans="1:8" x14ac:dyDescent="0.35">
      <c r="A18" t="s">
        <v>7</v>
      </c>
      <c r="B18">
        <f t="shared" si="0"/>
        <v>2</v>
      </c>
      <c r="C18" t="s">
        <v>8</v>
      </c>
      <c r="D18">
        <f t="shared" si="1"/>
        <v>1</v>
      </c>
      <c r="E18" t="s">
        <v>9</v>
      </c>
      <c r="F18">
        <f t="shared" si="2"/>
        <v>1</v>
      </c>
      <c r="G18" t="s">
        <v>10</v>
      </c>
      <c r="H18">
        <f t="shared" si="3"/>
        <v>1</v>
      </c>
    </row>
    <row r="19" spans="1:8" x14ac:dyDescent="0.35">
      <c r="A19" t="s">
        <v>11</v>
      </c>
      <c r="B19">
        <f t="shared" si="0"/>
        <v>1</v>
      </c>
      <c r="C19" t="s">
        <v>8</v>
      </c>
      <c r="D19">
        <f t="shared" si="1"/>
        <v>1</v>
      </c>
      <c r="E19" t="s">
        <v>9</v>
      </c>
      <c r="F19">
        <f t="shared" si="2"/>
        <v>1</v>
      </c>
      <c r="G19" t="s">
        <v>10</v>
      </c>
      <c r="H19">
        <f t="shared" si="3"/>
        <v>1</v>
      </c>
    </row>
    <row r="20" spans="1:8" x14ac:dyDescent="0.35">
      <c r="A20" t="s">
        <v>7</v>
      </c>
      <c r="B20">
        <f t="shared" si="0"/>
        <v>2</v>
      </c>
      <c r="C20" t="s">
        <v>8</v>
      </c>
      <c r="D20">
        <f t="shared" si="1"/>
        <v>1</v>
      </c>
      <c r="E20" t="s">
        <v>9</v>
      </c>
      <c r="F20">
        <f t="shared" si="2"/>
        <v>1</v>
      </c>
      <c r="G20" t="s">
        <v>10</v>
      </c>
      <c r="H20">
        <f t="shared" si="3"/>
        <v>1</v>
      </c>
    </row>
    <row r="21" spans="1:8" x14ac:dyDescent="0.35">
      <c r="A21" t="s">
        <v>11</v>
      </c>
      <c r="B21">
        <f t="shared" si="0"/>
        <v>1</v>
      </c>
      <c r="C21" t="s">
        <v>8</v>
      </c>
      <c r="D21">
        <f t="shared" si="1"/>
        <v>1</v>
      </c>
      <c r="E21" t="s">
        <v>21</v>
      </c>
      <c r="F21">
        <f t="shared" si="2"/>
        <v>3</v>
      </c>
      <c r="G21" t="s">
        <v>10</v>
      </c>
      <c r="H21">
        <f t="shared" si="3"/>
        <v>1</v>
      </c>
    </row>
    <row r="22" spans="1:8" x14ac:dyDescent="0.35">
      <c r="A22" t="s">
        <v>11</v>
      </c>
      <c r="B22">
        <f t="shared" si="0"/>
        <v>1</v>
      </c>
      <c r="C22" t="s">
        <v>8</v>
      </c>
      <c r="D22">
        <f t="shared" si="1"/>
        <v>1</v>
      </c>
      <c r="E22" t="s">
        <v>21</v>
      </c>
      <c r="F22">
        <f t="shared" si="2"/>
        <v>3</v>
      </c>
      <c r="G22" t="s">
        <v>10</v>
      </c>
      <c r="H22">
        <f t="shared" si="3"/>
        <v>1</v>
      </c>
    </row>
    <row r="23" spans="1:8" x14ac:dyDescent="0.35">
      <c r="A23" t="s">
        <v>7</v>
      </c>
      <c r="B23">
        <f t="shared" si="0"/>
        <v>2</v>
      </c>
      <c r="C23" t="s">
        <v>8</v>
      </c>
      <c r="D23">
        <f t="shared" si="1"/>
        <v>1</v>
      </c>
      <c r="E23" t="s">
        <v>21</v>
      </c>
      <c r="F23">
        <f t="shared" si="2"/>
        <v>3</v>
      </c>
      <c r="G23" t="s">
        <v>10</v>
      </c>
      <c r="H23">
        <f t="shared" si="3"/>
        <v>1</v>
      </c>
    </row>
    <row r="24" spans="1:8" x14ac:dyDescent="0.35">
      <c r="A24" t="s">
        <v>7</v>
      </c>
      <c r="B24">
        <f t="shared" si="0"/>
        <v>2</v>
      </c>
      <c r="C24" t="s">
        <v>8</v>
      </c>
      <c r="D24">
        <f t="shared" si="1"/>
        <v>1</v>
      </c>
      <c r="E24" t="s">
        <v>21</v>
      </c>
      <c r="F24">
        <f t="shared" si="2"/>
        <v>3</v>
      </c>
      <c r="G24" t="s">
        <v>10</v>
      </c>
      <c r="H24">
        <f t="shared" si="3"/>
        <v>1</v>
      </c>
    </row>
    <row r="25" spans="1:8" x14ac:dyDescent="0.35">
      <c r="A25" t="s">
        <v>11</v>
      </c>
      <c r="B25">
        <f t="shared" si="0"/>
        <v>1</v>
      </c>
      <c r="C25" t="s">
        <v>8</v>
      </c>
      <c r="D25">
        <f t="shared" si="1"/>
        <v>1</v>
      </c>
      <c r="E25" t="s">
        <v>21</v>
      </c>
      <c r="F25">
        <f t="shared" si="2"/>
        <v>3</v>
      </c>
      <c r="G25" t="s">
        <v>10</v>
      </c>
      <c r="H25">
        <f t="shared" si="3"/>
        <v>1</v>
      </c>
    </row>
    <row r="26" spans="1:8" x14ac:dyDescent="0.35">
      <c r="A26" t="s">
        <v>11</v>
      </c>
      <c r="B26">
        <f t="shared" si="0"/>
        <v>1</v>
      </c>
      <c r="C26" t="s">
        <v>8</v>
      </c>
      <c r="D26">
        <f t="shared" si="1"/>
        <v>1</v>
      </c>
      <c r="E26" t="s">
        <v>21</v>
      </c>
      <c r="F26">
        <f t="shared" si="2"/>
        <v>3</v>
      </c>
      <c r="G26" t="s">
        <v>10</v>
      </c>
      <c r="H26">
        <f t="shared" si="3"/>
        <v>1</v>
      </c>
    </row>
    <row r="27" spans="1:8" x14ac:dyDescent="0.35">
      <c r="A27" t="s">
        <v>11</v>
      </c>
      <c r="B27">
        <f t="shared" si="0"/>
        <v>1</v>
      </c>
      <c r="C27" t="s">
        <v>8</v>
      </c>
      <c r="D27">
        <f t="shared" si="1"/>
        <v>1</v>
      </c>
      <c r="E27" t="s">
        <v>21</v>
      </c>
      <c r="F27">
        <f t="shared" si="2"/>
        <v>3</v>
      </c>
      <c r="G27" t="s">
        <v>10</v>
      </c>
      <c r="H27">
        <f t="shared" si="3"/>
        <v>1</v>
      </c>
    </row>
    <row r="28" spans="1:8" x14ac:dyDescent="0.35">
      <c r="A28" t="s">
        <v>11</v>
      </c>
      <c r="B28">
        <f t="shared" si="0"/>
        <v>1</v>
      </c>
      <c r="C28" t="s">
        <v>8</v>
      </c>
      <c r="D28">
        <f t="shared" si="1"/>
        <v>1</v>
      </c>
      <c r="E28" t="s">
        <v>21</v>
      </c>
      <c r="F28">
        <f t="shared" si="2"/>
        <v>3</v>
      </c>
      <c r="G28" t="s">
        <v>10</v>
      </c>
      <c r="H28">
        <f t="shared" si="3"/>
        <v>1</v>
      </c>
    </row>
    <row r="29" spans="1:8" x14ac:dyDescent="0.35">
      <c r="A29" t="s">
        <v>11</v>
      </c>
      <c r="B29">
        <f t="shared" si="0"/>
        <v>1</v>
      </c>
      <c r="C29" t="s">
        <v>8</v>
      </c>
      <c r="D29">
        <f t="shared" si="1"/>
        <v>1</v>
      </c>
      <c r="E29" t="s">
        <v>21</v>
      </c>
      <c r="F29">
        <f t="shared" si="2"/>
        <v>3</v>
      </c>
      <c r="G29" t="s">
        <v>10</v>
      </c>
      <c r="H29">
        <f t="shared" si="3"/>
        <v>1</v>
      </c>
    </row>
    <row r="30" spans="1:8" x14ac:dyDescent="0.35">
      <c r="A30" t="s">
        <v>11</v>
      </c>
      <c r="B30">
        <f t="shared" si="0"/>
        <v>1</v>
      </c>
      <c r="C30" t="s">
        <v>8</v>
      </c>
      <c r="D30">
        <f t="shared" si="1"/>
        <v>1</v>
      </c>
      <c r="E30" t="s">
        <v>21</v>
      </c>
      <c r="F30">
        <f t="shared" si="2"/>
        <v>3</v>
      </c>
      <c r="G30" t="s">
        <v>10</v>
      </c>
      <c r="H30">
        <f t="shared" si="3"/>
        <v>1</v>
      </c>
    </row>
    <row r="31" spans="1:8" x14ac:dyDescent="0.35">
      <c r="A31" t="s">
        <v>7</v>
      </c>
      <c r="B31">
        <f t="shared" si="0"/>
        <v>2</v>
      </c>
      <c r="C31" t="s">
        <v>8</v>
      </c>
      <c r="D31">
        <f t="shared" si="1"/>
        <v>1</v>
      </c>
      <c r="E31" t="s">
        <v>21</v>
      </c>
      <c r="F31">
        <f t="shared" si="2"/>
        <v>3</v>
      </c>
      <c r="G31" t="s">
        <v>10</v>
      </c>
      <c r="H31">
        <f t="shared" si="3"/>
        <v>1</v>
      </c>
    </row>
    <row r="32" spans="1:8" x14ac:dyDescent="0.35">
      <c r="A32" t="s">
        <v>11</v>
      </c>
      <c r="B32">
        <f t="shared" si="0"/>
        <v>1</v>
      </c>
      <c r="C32" t="s">
        <v>8</v>
      </c>
      <c r="D32">
        <f t="shared" si="1"/>
        <v>1</v>
      </c>
      <c r="E32" t="s">
        <v>21</v>
      </c>
      <c r="F32">
        <f t="shared" si="2"/>
        <v>3</v>
      </c>
      <c r="G32" t="s">
        <v>10</v>
      </c>
      <c r="H32">
        <f t="shared" si="3"/>
        <v>1</v>
      </c>
    </row>
    <row r="33" spans="1:8" x14ac:dyDescent="0.35">
      <c r="A33" t="s">
        <v>11</v>
      </c>
      <c r="B33">
        <f t="shared" si="0"/>
        <v>1</v>
      </c>
      <c r="C33" t="s">
        <v>8</v>
      </c>
      <c r="D33">
        <f t="shared" si="1"/>
        <v>1</v>
      </c>
      <c r="E33" t="s">
        <v>21</v>
      </c>
      <c r="F33">
        <f t="shared" si="2"/>
        <v>3</v>
      </c>
      <c r="G33" t="s">
        <v>10</v>
      </c>
      <c r="H33">
        <f t="shared" si="3"/>
        <v>1</v>
      </c>
    </row>
    <row r="34" spans="1:8" x14ac:dyDescent="0.35">
      <c r="A34" t="s">
        <v>7</v>
      </c>
      <c r="B34">
        <f t="shared" si="0"/>
        <v>2</v>
      </c>
      <c r="C34" t="s">
        <v>8</v>
      </c>
      <c r="D34">
        <f t="shared" si="1"/>
        <v>1</v>
      </c>
      <c r="E34" t="s">
        <v>21</v>
      </c>
      <c r="F34">
        <f t="shared" si="2"/>
        <v>3</v>
      </c>
      <c r="G34" t="s">
        <v>10</v>
      </c>
      <c r="H34">
        <f t="shared" si="3"/>
        <v>1</v>
      </c>
    </row>
    <row r="35" spans="1:8" x14ac:dyDescent="0.35">
      <c r="A35" t="s">
        <v>7</v>
      </c>
      <c r="B35">
        <f t="shared" si="0"/>
        <v>2</v>
      </c>
      <c r="C35" t="s">
        <v>8</v>
      </c>
      <c r="D35">
        <f t="shared" si="1"/>
        <v>1</v>
      </c>
      <c r="E35" t="s">
        <v>21</v>
      </c>
      <c r="F35">
        <f t="shared" si="2"/>
        <v>3</v>
      </c>
      <c r="G35" t="s">
        <v>10</v>
      </c>
      <c r="H35">
        <f t="shared" si="3"/>
        <v>1</v>
      </c>
    </row>
    <row r="36" spans="1:8" x14ac:dyDescent="0.35">
      <c r="A36" t="s">
        <v>11</v>
      </c>
      <c r="B36">
        <f t="shared" si="0"/>
        <v>1</v>
      </c>
      <c r="C36" t="s">
        <v>8</v>
      </c>
      <c r="D36">
        <f t="shared" si="1"/>
        <v>1</v>
      </c>
      <c r="E36" t="s">
        <v>21</v>
      </c>
      <c r="F36">
        <f t="shared" si="2"/>
        <v>3</v>
      </c>
      <c r="G36" t="s">
        <v>10</v>
      </c>
      <c r="H36">
        <f t="shared" si="3"/>
        <v>1</v>
      </c>
    </row>
    <row r="37" spans="1:8" x14ac:dyDescent="0.35">
      <c r="A37" t="s">
        <v>11</v>
      </c>
      <c r="B37">
        <f t="shared" si="0"/>
        <v>1</v>
      </c>
      <c r="C37" t="s">
        <v>8</v>
      </c>
      <c r="D37">
        <f t="shared" si="1"/>
        <v>1</v>
      </c>
      <c r="E37" t="s">
        <v>21</v>
      </c>
      <c r="F37">
        <f t="shared" si="2"/>
        <v>3</v>
      </c>
      <c r="G37" t="s">
        <v>10</v>
      </c>
      <c r="H37">
        <f t="shared" si="3"/>
        <v>1</v>
      </c>
    </row>
    <row r="38" spans="1:8" x14ac:dyDescent="0.35">
      <c r="A38" t="s">
        <v>11</v>
      </c>
      <c r="B38">
        <f t="shared" si="0"/>
        <v>1</v>
      </c>
      <c r="C38" t="s">
        <v>8</v>
      </c>
      <c r="D38">
        <f t="shared" si="1"/>
        <v>1</v>
      </c>
      <c r="E38" t="s">
        <v>21</v>
      </c>
      <c r="F38">
        <f t="shared" si="2"/>
        <v>3</v>
      </c>
      <c r="G38" t="s">
        <v>10</v>
      </c>
      <c r="H38">
        <f t="shared" si="3"/>
        <v>1</v>
      </c>
    </row>
    <row r="39" spans="1:8" x14ac:dyDescent="0.35">
      <c r="A39" t="s">
        <v>7</v>
      </c>
      <c r="B39">
        <f t="shared" si="0"/>
        <v>2</v>
      </c>
      <c r="C39" t="s">
        <v>8</v>
      </c>
      <c r="D39">
        <f t="shared" si="1"/>
        <v>1</v>
      </c>
      <c r="E39" t="s">
        <v>21</v>
      </c>
      <c r="F39">
        <f t="shared" si="2"/>
        <v>3</v>
      </c>
      <c r="G39" t="s">
        <v>10</v>
      </c>
      <c r="H39">
        <f t="shared" si="3"/>
        <v>1</v>
      </c>
    </row>
    <row r="40" spans="1:8" x14ac:dyDescent="0.35">
      <c r="A40" t="s">
        <v>11</v>
      </c>
      <c r="B40">
        <f t="shared" si="0"/>
        <v>1</v>
      </c>
      <c r="C40" t="s">
        <v>8</v>
      </c>
      <c r="D40">
        <f t="shared" si="1"/>
        <v>1</v>
      </c>
      <c r="E40" t="s">
        <v>21</v>
      </c>
      <c r="F40">
        <f t="shared" si="2"/>
        <v>3</v>
      </c>
      <c r="G40" t="s">
        <v>10</v>
      </c>
      <c r="H40">
        <f t="shared" si="3"/>
        <v>1</v>
      </c>
    </row>
    <row r="41" spans="1:8" x14ac:dyDescent="0.35">
      <c r="A41" t="s">
        <v>11</v>
      </c>
      <c r="B41">
        <f t="shared" si="0"/>
        <v>1</v>
      </c>
      <c r="C41" t="s">
        <v>8</v>
      </c>
      <c r="D41">
        <f t="shared" si="1"/>
        <v>1</v>
      </c>
      <c r="E41" t="s">
        <v>21</v>
      </c>
      <c r="F41">
        <f t="shared" si="2"/>
        <v>3</v>
      </c>
      <c r="G41" t="s">
        <v>10</v>
      </c>
      <c r="H41">
        <f t="shared" si="3"/>
        <v>1</v>
      </c>
    </row>
    <row r="42" spans="1:8" x14ac:dyDescent="0.35">
      <c r="A42" t="s">
        <v>11</v>
      </c>
      <c r="B42">
        <f t="shared" si="0"/>
        <v>1</v>
      </c>
      <c r="C42" t="s">
        <v>8</v>
      </c>
      <c r="D42">
        <f t="shared" si="1"/>
        <v>1</v>
      </c>
      <c r="E42" t="s">
        <v>21</v>
      </c>
      <c r="F42">
        <f t="shared" si="2"/>
        <v>3</v>
      </c>
      <c r="G42" t="s">
        <v>10</v>
      </c>
      <c r="H42">
        <f t="shared" si="3"/>
        <v>1</v>
      </c>
    </row>
    <row r="43" spans="1:8" x14ac:dyDescent="0.35">
      <c r="A43" t="s">
        <v>11</v>
      </c>
      <c r="B43">
        <f t="shared" si="0"/>
        <v>1</v>
      </c>
      <c r="C43" t="s">
        <v>8</v>
      </c>
      <c r="D43">
        <f t="shared" si="1"/>
        <v>1</v>
      </c>
      <c r="E43" t="s">
        <v>9</v>
      </c>
      <c r="F43">
        <f t="shared" si="2"/>
        <v>1</v>
      </c>
      <c r="G43" t="s">
        <v>10</v>
      </c>
      <c r="H43">
        <f t="shared" si="3"/>
        <v>1</v>
      </c>
    </row>
    <row r="44" spans="1:8" x14ac:dyDescent="0.35">
      <c r="A44" t="s">
        <v>11</v>
      </c>
      <c r="B44">
        <f t="shared" si="0"/>
        <v>1</v>
      </c>
      <c r="C44" t="s">
        <v>8</v>
      </c>
      <c r="D44">
        <f t="shared" si="1"/>
        <v>1</v>
      </c>
      <c r="E44" t="s">
        <v>9</v>
      </c>
      <c r="F44">
        <f t="shared" si="2"/>
        <v>1</v>
      </c>
      <c r="G44" t="s">
        <v>10</v>
      </c>
      <c r="H44">
        <f t="shared" si="3"/>
        <v>1</v>
      </c>
    </row>
    <row r="45" spans="1:8" x14ac:dyDescent="0.35">
      <c r="A45" t="s">
        <v>11</v>
      </c>
      <c r="B45">
        <f t="shared" si="0"/>
        <v>1</v>
      </c>
      <c r="C45" t="s">
        <v>8</v>
      </c>
      <c r="D45">
        <f t="shared" si="1"/>
        <v>1</v>
      </c>
      <c r="E45" t="s">
        <v>9</v>
      </c>
      <c r="F45">
        <f t="shared" si="2"/>
        <v>1</v>
      </c>
      <c r="G45" t="s">
        <v>10</v>
      </c>
      <c r="H45">
        <f t="shared" si="3"/>
        <v>1</v>
      </c>
    </row>
    <row r="46" spans="1:8" x14ac:dyDescent="0.35">
      <c r="A46" t="s">
        <v>11</v>
      </c>
      <c r="B46">
        <f t="shared" si="0"/>
        <v>1</v>
      </c>
      <c r="C46" t="s">
        <v>8</v>
      </c>
      <c r="D46">
        <f t="shared" si="1"/>
        <v>1</v>
      </c>
      <c r="E46" t="s">
        <v>9</v>
      </c>
      <c r="F46">
        <f t="shared" si="2"/>
        <v>1</v>
      </c>
      <c r="G46" t="s">
        <v>10</v>
      </c>
      <c r="H46">
        <f t="shared" si="3"/>
        <v>1</v>
      </c>
    </row>
    <row r="47" spans="1:8" x14ac:dyDescent="0.35">
      <c r="A47" t="s">
        <v>11</v>
      </c>
      <c r="B47">
        <f t="shared" si="0"/>
        <v>1</v>
      </c>
      <c r="C47" t="s">
        <v>8</v>
      </c>
      <c r="D47">
        <f t="shared" si="1"/>
        <v>1</v>
      </c>
      <c r="E47" t="s">
        <v>9</v>
      </c>
      <c r="F47">
        <f t="shared" si="2"/>
        <v>1</v>
      </c>
      <c r="G47" t="s">
        <v>10</v>
      </c>
      <c r="H47">
        <f t="shared" si="3"/>
        <v>1</v>
      </c>
    </row>
    <row r="48" spans="1:8" x14ac:dyDescent="0.35">
      <c r="A48" t="s">
        <v>11</v>
      </c>
      <c r="B48">
        <f t="shared" si="0"/>
        <v>1</v>
      </c>
      <c r="C48" t="s">
        <v>8</v>
      </c>
      <c r="D48">
        <f t="shared" si="1"/>
        <v>1</v>
      </c>
      <c r="E48" t="s">
        <v>9</v>
      </c>
      <c r="F48">
        <f t="shared" si="2"/>
        <v>1</v>
      </c>
      <c r="G48" t="s">
        <v>10</v>
      </c>
      <c r="H48">
        <f t="shared" si="3"/>
        <v>1</v>
      </c>
    </row>
    <row r="49" spans="1:8" x14ac:dyDescent="0.35">
      <c r="A49" t="s">
        <v>11</v>
      </c>
      <c r="B49">
        <f t="shared" si="0"/>
        <v>1</v>
      </c>
      <c r="C49" t="s">
        <v>8</v>
      </c>
      <c r="D49">
        <f t="shared" si="1"/>
        <v>1</v>
      </c>
      <c r="E49" t="s">
        <v>9</v>
      </c>
      <c r="F49">
        <f t="shared" si="2"/>
        <v>1</v>
      </c>
      <c r="G49" t="s">
        <v>10</v>
      </c>
      <c r="H49">
        <f t="shared" si="3"/>
        <v>1</v>
      </c>
    </row>
    <row r="50" spans="1:8" x14ac:dyDescent="0.35">
      <c r="A50" t="s">
        <v>11</v>
      </c>
      <c r="B50">
        <f t="shared" si="0"/>
        <v>1</v>
      </c>
      <c r="C50" t="s">
        <v>8</v>
      </c>
      <c r="D50">
        <f t="shared" si="1"/>
        <v>1</v>
      </c>
      <c r="E50" t="s">
        <v>9</v>
      </c>
      <c r="F50">
        <f t="shared" si="2"/>
        <v>1</v>
      </c>
      <c r="G50" t="s">
        <v>10</v>
      </c>
      <c r="H50">
        <f t="shared" si="3"/>
        <v>1</v>
      </c>
    </row>
    <row r="51" spans="1:8" x14ac:dyDescent="0.35">
      <c r="A51" t="s">
        <v>11</v>
      </c>
      <c r="B51">
        <f t="shared" si="0"/>
        <v>1</v>
      </c>
      <c r="C51" t="s">
        <v>8</v>
      </c>
      <c r="D51">
        <f t="shared" si="1"/>
        <v>1</v>
      </c>
      <c r="E51" t="s">
        <v>9</v>
      </c>
      <c r="F51">
        <f t="shared" si="2"/>
        <v>1</v>
      </c>
      <c r="G51" t="s">
        <v>10</v>
      </c>
      <c r="H51">
        <f t="shared" si="3"/>
        <v>1</v>
      </c>
    </row>
    <row r="52" spans="1:8" x14ac:dyDescent="0.35">
      <c r="A52" t="s">
        <v>11</v>
      </c>
      <c r="B52">
        <f t="shared" si="0"/>
        <v>1</v>
      </c>
      <c r="C52" t="s">
        <v>8</v>
      </c>
      <c r="D52">
        <f t="shared" si="1"/>
        <v>1</v>
      </c>
      <c r="E52" t="s">
        <v>9</v>
      </c>
      <c r="F52">
        <f t="shared" si="2"/>
        <v>1</v>
      </c>
      <c r="G52" t="s">
        <v>10</v>
      </c>
      <c r="H52">
        <f t="shared" si="3"/>
        <v>1</v>
      </c>
    </row>
    <row r="53" spans="1:8" x14ac:dyDescent="0.35">
      <c r="A53" t="s">
        <v>7</v>
      </c>
      <c r="B53">
        <f t="shared" si="0"/>
        <v>2</v>
      </c>
      <c r="C53" t="s">
        <v>8</v>
      </c>
      <c r="D53">
        <f t="shared" si="1"/>
        <v>1</v>
      </c>
      <c r="E53" t="s">
        <v>9</v>
      </c>
      <c r="F53">
        <f t="shared" si="2"/>
        <v>1</v>
      </c>
      <c r="G53" t="s">
        <v>10</v>
      </c>
      <c r="H53">
        <f t="shared" si="3"/>
        <v>1</v>
      </c>
    </row>
    <row r="54" spans="1:8" x14ac:dyDescent="0.35">
      <c r="A54" t="s">
        <v>7</v>
      </c>
      <c r="B54">
        <f t="shared" si="0"/>
        <v>2</v>
      </c>
      <c r="C54" t="s">
        <v>8</v>
      </c>
      <c r="D54">
        <f t="shared" si="1"/>
        <v>1</v>
      </c>
      <c r="E54" t="s">
        <v>9</v>
      </c>
      <c r="F54">
        <f t="shared" si="2"/>
        <v>1</v>
      </c>
      <c r="G54" t="s">
        <v>10</v>
      </c>
      <c r="H54">
        <f t="shared" si="3"/>
        <v>1</v>
      </c>
    </row>
    <row r="55" spans="1:8" x14ac:dyDescent="0.35">
      <c r="A55" t="s">
        <v>11</v>
      </c>
      <c r="B55">
        <f t="shared" si="0"/>
        <v>1</v>
      </c>
      <c r="C55" t="s">
        <v>8</v>
      </c>
      <c r="D55">
        <f t="shared" si="1"/>
        <v>1</v>
      </c>
      <c r="E55" t="s">
        <v>9</v>
      </c>
      <c r="F55">
        <f t="shared" si="2"/>
        <v>1</v>
      </c>
      <c r="G55" t="s">
        <v>10</v>
      </c>
      <c r="H55">
        <f t="shared" si="3"/>
        <v>1</v>
      </c>
    </row>
    <row r="56" spans="1:8" x14ac:dyDescent="0.35">
      <c r="A56" t="s">
        <v>11</v>
      </c>
      <c r="B56">
        <f t="shared" si="0"/>
        <v>1</v>
      </c>
      <c r="C56" t="s">
        <v>8</v>
      </c>
      <c r="D56">
        <f t="shared" si="1"/>
        <v>1</v>
      </c>
      <c r="E56" t="s">
        <v>9</v>
      </c>
      <c r="F56">
        <f t="shared" si="2"/>
        <v>1</v>
      </c>
      <c r="G56" t="s">
        <v>10</v>
      </c>
      <c r="H56">
        <f t="shared" si="3"/>
        <v>1</v>
      </c>
    </row>
    <row r="57" spans="1:8" x14ac:dyDescent="0.35">
      <c r="A57" t="s">
        <v>11</v>
      </c>
      <c r="B57">
        <f t="shared" si="0"/>
        <v>1</v>
      </c>
      <c r="C57" t="s">
        <v>8</v>
      </c>
      <c r="D57">
        <f t="shared" si="1"/>
        <v>1</v>
      </c>
      <c r="E57" t="s">
        <v>9</v>
      </c>
      <c r="F57">
        <f t="shared" si="2"/>
        <v>1</v>
      </c>
      <c r="G57" t="s">
        <v>10</v>
      </c>
      <c r="H57">
        <f t="shared" si="3"/>
        <v>1</v>
      </c>
    </row>
    <row r="58" spans="1:8" x14ac:dyDescent="0.35">
      <c r="A58" t="s">
        <v>11</v>
      </c>
      <c r="B58">
        <f t="shared" si="0"/>
        <v>1</v>
      </c>
      <c r="C58" t="s">
        <v>22</v>
      </c>
      <c r="D58">
        <f t="shared" si="1"/>
        <v>2</v>
      </c>
      <c r="E58" t="s">
        <v>21</v>
      </c>
      <c r="F58">
        <f t="shared" si="2"/>
        <v>3</v>
      </c>
      <c r="G58" t="s">
        <v>10</v>
      </c>
      <c r="H58">
        <f t="shared" si="3"/>
        <v>1</v>
      </c>
    </row>
    <row r="59" spans="1:8" x14ac:dyDescent="0.35">
      <c r="A59" t="s">
        <v>7</v>
      </c>
      <c r="B59">
        <f t="shared" si="0"/>
        <v>2</v>
      </c>
      <c r="C59" t="s">
        <v>8</v>
      </c>
      <c r="D59">
        <f t="shared" si="1"/>
        <v>1</v>
      </c>
      <c r="E59" t="s">
        <v>21</v>
      </c>
      <c r="F59">
        <f t="shared" si="2"/>
        <v>3</v>
      </c>
      <c r="G59" t="s">
        <v>10</v>
      </c>
      <c r="H59">
        <f t="shared" si="3"/>
        <v>1</v>
      </c>
    </row>
    <row r="60" spans="1:8" x14ac:dyDescent="0.35">
      <c r="A60" t="s">
        <v>11</v>
      </c>
      <c r="B60">
        <f t="shared" si="0"/>
        <v>1</v>
      </c>
      <c r="C60" t="s">
        <v>22</v>
      </c>
      <c r="D60">
        <f t="shared" si="1"/>
        <v>2</v>
      </c>
      <c r="E60" t="s">
        <v>21</v>
      </c>
      <c r="F60">
        <f t="shared" si="2"/>
        <v>3</v>
      </c>
      <c r="G60" t="s">
        <v>10</v>
      </c>
      <c r="H60">
        <f t="shared" si="3"/>
        <v>1</v>
      </c>
    </row>
    <row r="61" spans="1:8" x14ac:dyDescent="0.35">
      <c r="A61" t="s">
        <v>11</v>
      </c>
      <c r="B61">
        <f t="shared" si="0"/>
        <v>1</v>
      </c>
      <c r="C61" t="s">
        <v>8</v>
      </c>
      <c r="D61">
        <f t="shared" si="1"/>
        <v>1</v>
      </c>
      <c r="E61" t="s">
        <v>21</v>
      </c>
      <c r="F61">
        <f t="shared" si="2"/>
        <v>3</v>
      </c>
      <c r="G61" t="s">
        <v>10</v>
      </c>
      <c r="H61">
        <f t="shared" si="3"/>
        <v>1</v>
      </c>
    </row>
    <row r="62" spans="1:8" x14ac:dyDescent="0.35">
      <c r="A62" t="s">
        <v>11</v>
      </c>
      <c r="B62">
        <f t="shared" si="0"/>
        <v>1</v>
      </c>
      <c r="C62" t="s">
        <v>22</v>
      </c>
      <c r="D62">
        <f t="shared" si="1"/>
        <v>2</v>
      </c>
      <c r="E62" t="s">
        <v>21</v>
      </c>
      <c r="F62">
        <f t="shared" si="2"/>
        <v>3</v>
      </c>
      <c r="G62" t="s">
        <v>10</v>
      </c>
      <c r="H62">
        <f t="shared" si="3"/>
        <v>1</v>
      </c>
    </row>
    <row r="63" spans="1:8" x14ac:dyDescent="0.35">
      <c r="A63" t="s">
        <v>11</v>
      </c>
      <c r="B63">
        <f t="shared" si="0"/>
        <v>1</v>
      </c>
      <c r="C63" t="s">
        <v>22</v>
      </c>
      <c r="D63">
        <f t="shared" si="1"/>
        <v>2</v>
      </c>
      <c r="E63" t="s">
        <v>21</v>
      </c>
      <c r="F63">
        <f t="shared" si="2"/>
        <v>3</v>
      </c>
      <c r="G63" t="s">
        <v>10</v>
      </c>
      <c r="H63">
        <f t="shared" si="3"/>
        <v>1</v>
      </c>
    </row>
    <row r="64" spans="1:8" x14ac:dyDescent="0.35">
      <c r="A64" t="s">
        <v>11</v>
      </c>
      <c r="B64">
        <f t="shared" si="0"/>
        <v>1</v>
      </c>
      <c r="C64" t="s">
        <v>22</v>
      </c>
      <c r="D64">
        <f t="shared" si="1"/>
        <v>2</v>
      </c>
      <c r="E64" t="s">
        <v>21</v>
      </c>
      <c r="F64">
        <f t="shared" si="2"/>
        <v>3</v>
      </c>
      <c r="G64" t="s">
        <v>10</v>
      </c>
      <c r="H64">
        <f t="shared" si="3"/>
        <v>1</v>
      </c>
    </row>
    <row r="65" spans="1:8" x14ac:dyDescent="0.35">
      <c r="A65" t="s">
        <v>11</v>
      </c>
      <c r="B65">
        <f t="shared" si="0"/>
        <v>1</v>
      </c>
      <c r="C65" t="s">
        <v>22</v>
      </c>
      <c r="D65">
        <f t="shared" si="1"/>
        <v>2</v>
      </c>
      <c r="E65" t="s">
        <v>21</v>
      </c>
      <c r="F65">
        <f t="shared" si="2"/>
        <v>3</v>
      </c>
      <c r="G65" t="s">
        <v>10</v>
      </c>
      <c r="H65">
        <f t="shared" si="3"/>
        <v>1</v>
      </c>
    </row>
    <row r="66" spans="1:8" x14ac:dyDescent="0.35">
      <c r="A66" t="s">
        <v>11</v>
      </c>
      <c r="B66">
        <f t="shared" si="0"/>
        <v>1</v>
      </c>
      <c r="C66" t="s">
        <v>8</v>
      </c>
      <c r="D66">
        <f t="shared" si="1"/>
        <v>1</v>
      </c>
      <c r="E66" t="s">
        <v>21</v>
      </c>
      <c r="F66">
        <f t="shared" si="2"/>
        <v>3</v>
      </c>
      <c r="G66" t="s">
        <v>10</v>
      </c>
      <c r="H66">
        <f t="shared" si="3"/>
        <v>1</v>
      </c>
    </row>
    <row r="67" spans="1:8" x14ac:dyDescent="0.35">
      <c r="A67" t="s">
        <v>11</v>
      </c>
      <c r="B67">
        <f t="shared" ref="B67:B130" si="4">IF($A67="Male",1,2)</f>
        <v>1</v>
      </c>
      <c r="C67" t="s">
        <v>8</v>
      </c>
      <c r="D67">
        <f t="shared" ref="D67:D130" si="5">IF($C67="No",1,2)</f>
        <v>1</v>
      </c>
      <c r="E67" t="s">
        <v>21</v>
      </c>
      <c r="F67">
        <f t="shared" ref="F67:F130" si="6">IF($E67="Sun",1,IF($E67="Fri",2,IF($E67="Sat",3,IF($E67="Thur",4))))</f>
        <v>3</v>
      </c>
      <c r="G67" t="s">
        <v>10</v>
      </c>
      <c r="H67">
        <f t="shared" ref="H67:H130" si="7">IF($G67="Dinner",1,2)</f>
        <v>1</v>
      </c>
    </row>
    <row r="68" spans="1:8" x14ac:dyDescent="0.35">
      <c r="A68" t="s">
        <v>7</v>
      </c>
      <c r="B68">
        <f t="shared" si="4"/>
        <v>2</v>
      </c>
      <c r="C68" t="s">
        <v>8</v>
      </c>
      <c r="D68">
        <f t="shared" si="5"/>
        <v>1</v>
      </c>
      <c r="E68" t="s">
        <v>21</v>
      </c>
      <c r="F68">
        <f t="shared" si="6"/>
        <v>3</v>
      </c>
      <c r="G68" t="s">
        <v>10</v>
      </c>
      <c r="H68">
        <f t="shared" si="7"/>
        <v>1</v>
      </c>
    </row>
    <row r="69" spans="1:8" x14ac:dyDescent="0.35">
      <c r="A69" t="s">
        <v>7</v>
      </c>
      <c r="B69">
        <f t="shared" si="4"/>
        <v>2</v>
      </c>
      <c r="C69" t="s">
        <v>22</v>
      </c>
      <c r="D69">
        <f t="shared" si="5"/>
        <v>2</v>
      </c>
      <c r="E69" t="s">
        <v>21</v>
      </c>
      <c r="F69">
        <f t="shared" si="6"/>
        <v>3</v>
      </c>
      <c r="G69" t="s">
        <v>10</v>
      </c>
      <c r="H69">
        <f t="shared" si="7"/>
        <v>1</v>
      </c>
    </row>
    <row r="70" spans="1:8" x14ac:dyDescent="0.35">
      <c r="A70" t="s">
        <v>11</v>
      </c>
      <c r="B70">
        <f t="shared" si="4"/>
        <v>1</v>
      </c>
      <c r="C70" t="s">
        <v>8</v>
      </c>
      <c r="D70">
        <f t="shared" si="5"/>
        <v>1</v>
      </c>
      <c r="E70" t="s">
        <v>21</v>
      </c>
      <c r="F70">
        <f t="shared" si="6"/>
        <v>3</v>
      </c>
      <c r="G70" t="s">
        <v>10</v>
      </c>
      <c r="H70">
        <f t="shared" si="7"/>
        <v>1</v>
      </c>
    </row>
    <row r="71" spans="1:8" x14ac:dyDescent="0.35">
      <c r="A71" t="s">
        <v>11</v>
      </c>
      <c r="B71">
        <f t="shared" si="4"/>
        <v>1</v>
      </c>
      <c r="C71" t="s">
        <v>22</v>
      </c>
      <c r="D71">
        <f t="shared" si="5"/>
        <v>2</v>
      </c>
      <c r="E71" t="s">
        <v>21</v>
      </c>
      <c r="F71">
        <f t="shared" si="6"/>
        <v>3</v>
      </c>
      <c r="G71" t="s">
        <v>10</v>
      </c>
      <c r="H71">
        <f t="shared" si="7"/>
        <v>1</v>
      </c>
    </row>
    <row r="72" spans="1:8" x14ac:dyDescent="0.35">
      <c r="A72" t="s">
        <v>11</v>
      </c>
      <c r="B72">
        <f t="shared" si="4"/>
        <v>1</v>
      </c>
      <c r="C72" t="s">
        <v>8</v>
      </c>
      <c r="D72">
        <f t="shared" si="5"/>
        <v>1</v>
      </c>
      <c r="E72" t="s">
        <v>21</v>
      </c>
      <c r="F72">
        <f t="shared" si="6"/>
        <v>3</v>
      </c>
      <c r="G72" t="s">
        <v>10</v>
      </c>
      <c r="H72">
        <f t="shared" si="7"/>
        <v>1</v>
      </c>
    </row>
    <row r="73" spans="1:8" x14ac:dyDescent="0.35">
      <c r="A73" t="s">
        <v>7</v>
      </c>
      <c r="B73">
        <f t="shared" si="4"/>
        <v>2</v>
      </c>
      <c r="C73" t="s">
        <v>8</v>
      </c>
      <c r="D73">
        <f t="shared" si="5"/>
        <v>1</v>
      </c>
      <c r="E73" t="s">
        <v>21</v>
      </c>
      <c r="F73">
        <f t="shared" si="6"/>
        <v>3</v>
      </c>
      <c r="G73" t="s">
        <v>10</v>
      </c>
      <c r="H73">
        <f t="shared" si="7"/>
        <v>1</v>
      </c>
    </row>
    <row r="74" spans="1:8" x14ac:dyDescent="0.35">
      <c r="A74" t="s">
        <v>7</v>
      </c>
      <c r="B74">
        <f t="shared" si="4"/>
        <v>2</v>
      </c>
      <c r="C74" t="s">
        <v>22</v>
      </c>
      <c r="D74">
        <f t="shared" si="5"/>
        <v>2</v>
      </c>
      <c r="E74" t="s">
        <v>21</v>
      </c>
      <c r="F74">
        <f t="shared" si="6"/>
        <v>3</v>
      </c>
      <c r="G74" t="s">
        <v>10</v>
      </c>
      <c r="H74">
        <f t="shared" si="7"/>
        <v>1</v>
      </c>
    </row>
    <row r="75" spans="1:8" x14ac:dyDescent="0.35">
      <c r="A75" t="s">
        <v>7</v>
      </c>
      <c r="B75">
        <f t="shared" si="4"/>
        <v>2</v>
      </c>
      <c r="C75" t="s">
        <v>22</v>
      </c>
      <c r="D75">
        <f t="shared" si="5"/>
        <v>2</v>
      </c>
      <c r="E75" t="s">
        <v>21</v>
      </c>
      <c r="F75">
        <f t="shared" si="6"/>
        <v>3</v>
      </c>
      <c r="G75" t="s">
        <v>10</v>
      </c>
      <c r="H75">
        <f t="shared" si="7"/>
        <v>1</v>
      </c>
    </row>
    <row r="76" spans="1:8" x14ac:dyDescent="0.35">
      <c r="A76" t="s">
        <v>7</v>
      </c>
      <c r="B76">
        <f t="shared" si="4"/>
        <v>2</v>
      </c>
      <c r="C76" t="s">
        <v>8</v>
      </c>
      <c r="D76">
        <f t="shared" si="5"/>
        <v>1</v>
      </c>
      <c r="E76" t="s">
        <v>21</v>
      </c>
      <c r="F76">
        <f t="shared" si="6"/>
        <v>3</v>
      </c>
      <c r="G76" t="s">
        <v>10</v>
      </c>
      <c r="H76">
        <f t="shared" si="7"/>
        <v>1</v>
      </c>
    </row>
    <row r="77" spans="1:8" x14ac:dyDescent="0.35">
      <c r="A77" t="s">
        <v>11</v>
      </c>
      <c r="B77">
        <f t="shared" si="4"/>
        <v>1</v>
      </c>
      <c r="C77" t="s">
        <v>8</v>
      </c>
      <c r="D77">
        <f t="shared" si="5"/>
        <v>1</v>
      </c>
      <c r="E77" t="s">
        <v>21</v>
      </c>
      <c r="F77">
        <f t="shared" si="6"/>
        <v>3</v>
      </c>
      <c r="G77" t="s">
        <v>10</v>
      </c>
      <c r="H77">
        <f t="shared" si="7"/>
        <v>1</v>
      </c>
    </row>
    <row r="78" spans="1:8" x14ac:dyDescent="0.35">
      <c r="A78" t="s">
        <v>11</v>
      </c>
      <c r="B78">
        <f t="shared" si="4"/>
        <v>1</v>
      </c>
      <c r="C78" t="s">
        <v>22</v>
      </c>
      <c r="D78">
        <f t="shared" si="5"/>
        <v>2</v>
      </c>
      <c r="E78" t="s">
        <v>21</v>
      </c>
      <c r="F78">
        <f t="shared" si="6"/>
        <v>3</v>
      </c>
      <c r="G78" t="s">
        <v>10</v>
      </c>
      <c r="H78">
        <f t="shared" si="7"/>
        <v>1</v>
      </c>
    </row>
    <row r="79" spans="1:8" x14ac:dyDescent="0.35">
      <c r="A79" t="s">
        <v>11</v>
      </c>
      <c r="B79">
        <f t="shared" si="4"/>
        <v>1</v>
      </c>
      <c r="C79" t="s">
        <v>8</v>
      </c>
      <c r="D79">
        <f t="shared" si="5"/>
        <v>1</v>
      </c>
      <c r="E79" t="s">
        <v>23</v>
      </c>
      <c r="F79">
        <f t="shared" si="6"/>
        <v>4</v>
      </c>
      <c r="G79" t="s">
        <v>24</v>
      </c>
      <c r="H79">
        <f t="shared" si="7"/>
        <v>2</v>
      </c>
    </row>
    <row r="80" spans="1:8" x14ac:dyDescent="0.35">
      <c r="A80" t="s">
        <v>11</v>
      </c>
      <c r="B80">
        <f t="shared" si="4"/>
        <v>1</v>
      </c>
      <c r="C80" t="s">
        <v>8</v>
      </c>
      <c r="D80">
        <f t="shared" si="5"/>
        <v>1</v>
      </c>
      <c r="E80" t="s">
        <v>23</v>
      </c>
      <c r="F80">
        <f t="shared" si="6"/>
        <v>4</v>
      </c>
      <c r="G80" t="s">
        <v>24</v>
      </c>
      <c r="H80">
        <f t="shared" si="7"/>
        <v>2</v>
      </c>
    </row>
    <row r="81" spans="1:8" x14ac:dyDescent="0.35">
      <c r="A81" t="s">
        <v>11</v>
      </c>
      <c r="B81">
        <f t="shared" si="4"/>
        <v>1</v>
      </c>
      <c r="C81" t="s">
        <v>8</v>
      </c>
      <c r="D81">
        <f t="shared" si="5"/>
        <v>1</v>
      </c>
      <c r="E81" t="s">
        <v>23</v>
      </c>
      <c r="F81">
        <f t="shared" si="6"/>
        <v>4</v>
      </c>
      <c r="G81" t="s">
        <v>24</v>
      </c>
      <c r="H81">
        <f t="shared" si="7"/>
        <v>2</v>
      </c>
    </row>
    <row r="82" spans="1:8" x14ac:dyDescent="0.35">
      <c r="A82" t="s">
        <v>11</v>
      </c>
      <c r="B82">
        <f t="shared" si="4"/>
        <v>1</v>
      </c>
      <c r="C82" t="s">
        <v>22</v>
      </c>
      <c r="D82">
        <f t="shared" si="5"/>
        <v>2</v>
      </c>
      <c r="E82" t="s">
        <v>23</v>
      </c>
      <c r="F82">
        <f t="shared" si="6"/>
        <v>4</v>
      </c>
      <c r="G82" t="s">
        <v>24</v>
      </c>
      <c r="H82">
        <f t="shared" si="7"/>
        <v>2</v>
      </c>
    </row>
    <row r="83" spans="1:8" x14ac:dyDescent="0.35">
      <c r="A83" t="s">
        <v>11</v>
      </c>
      <c r="B83">
        <f t="shared" si="4"/>
        <v>1</v>
      </c>
      <c r="C83" t="s">
        <v>8</v>
      </c>
      <c r="D83">
        <f t="shared" si="5"/>
        <v>1</v>
      </c>
      <c r="E83" t="s">
        <v>23</v>
      </c>
      <c r="F83">
        <f t="shared" si="6"/>
        <v>4</v>
      </c>
      <c r="G83" t="s">
        <v>24</v>
      </c>
      <c r="H83">
        <f t="shared" si="7"/>
        <v>2</v>
      </c>
    </row>
    <row r="84" spans="1:8" x14ac:dyDescent="0.35">
      <c r="A84" t="s">
        <v>7</v>
      </c>
      <c r="B84">
        <f t="shared" si="4"/>
        <v>2</v>
      </c>
      <c r="C84" t="s">
        <v>8</v>
      </c>
      <c r="D84">
        <f t="shared" si="5"/>
        <v>1</v>
      </c>
      <c r="E84" t="s">
        <v>23</v>
      </c>
      <c r="F84">
        <f t="shared" si="6"/>
        <v>4</v>
      </c>
      <c r="G84" t="s">
        <v>24</v>
      </c>
      <c r="H84">
        <f t="shared" si="7"/>
        <v>2</v>
      </c>
    </row>
    <row r="85" spans="1:8" x14ac:dyDescent="0.35">
      <c r="A85" t="s">
        <v>11</v>
      </c>
      <c r="B85">
        <f t="shared" si="4"/>
        <v>1</v>
      </c>
      <c r="C85" t="s">
        <v>22</v>
      </c>
      <c r="D85">
        <f t="shared" si="5"/>
        <v>2</v>
      </c>
      <c r="E85" t="s">
        <v>23</v>
      </c>
      <c r="F85">
        <f t="shared" si="6"/>
        <v>4</v>
      </c>
      <c r="G85" t="s">
        <v>24</v>
      </c>
      <c r="H85">
        <f t="shared" si="7"/>
        <v>2</v>
      </c>
    </row>
    <row r="86" spans="1:8" x14ac:dyDescent="0.35">
      <c r="A86" t="s">
        <v>11</v>
      </c>
      <c r="B86">
        <f t="shared" si="4"/>
        <v>1</v>
      </c>
      <c r="C86" t="s">
        <v>8</v>
      </c>
      <c r="D86">
        <f t="shared" si="5"/>
        <v>1</v>
      </c>
      <c r="E86" t="s">
        <v>23</v>
      </c>
      <c r="F86">
        <f t="shared" si="6"/>
        <v>4</v>
      </c>
      <c r="G86" t="s">
        <v>24</v>
      </c>
      <c r="H86">
        <f t="shared" si="7"/>
        <v>2</v>
      </c>
    </row>
    <row r="87" spans="1:8" x14ac:dyDescent="0.35">
      <c r="A87" t="s">
        <v>7</v>
      </c>
      <c r="B87">
        <f t="shared" si="4"/>
        <v>2</v>
      </c>
      <c r="C87" t="s">
        <v>8</v>
      </c>
      <c r="D87">
        <f t="shared" si="5"/>
        <v>1</v>
      </c>
      <c r="E87" t="s">
        <v>23</v>
      </c>
      <c r="F87">
        <f t="shared" si="6"/>
        <v>4</v>
      </c>
      <c r="G87" t="s">
        <v>24</v>
      </c>
      <c r="H87">
        <f t="shared" si="7"/>
        <v>2</v>
      </c>
    </row>
    <row r="88" spans="1:8" x14ac:dyDescent="0.35">
      <c r="A88" t="s">
        <v>11</v>
      </c>
      <c r="B88">
        <f t="shared" si="4"/>
        <v>1</v>
      </c>
      <c r="C88" t="s">
        <v>8</v>
      </c>
      <c r="D88">
        <f t="shared" si="5"/>
        <v>1</v>
      </c>
      <c r="E88" t="s">
        <v>23</v>
      </c>
      <c r="F88">
        <f t="shared" si="6"/>
        <v>4</v>
      </c>
      <c r="G88" t="s">
        <v>24</v>
      </c>
      <c r="H88">
        <f t="shared" si="7"/>
        <v>2</v>
      </c>
    </row>
    <row r="89" spans="1:8" x14ac:dyDescent="0.35">
      <c r="A89" t="s">
        <v>11</v>
      </c>
      <c r="B89">
        <f t="shared" si="4"/>
        <v>1</v>
      </c>
      <c r="C89" t="s">
        <v>8</v>
      </c>
      <c r="D89">
        <f t="shared" si="5"/>
        <v>1</v>
      </c>
      <c r="E89" t="s">
        <v>23</v>
      </c>
      <c r="F89">
        <f t="shared" si="6"/>
        <v>4</v>
      </c>
      <c r="G89" t="s">
        <v>24</v>
      </c>
      <c r="H89">
        <f t="shared" si="7"/>
        <v>2</v>
      </c>
    </row>
    <row r="90" spans="1:8" x14ac:dyDescent="0.35">
      <c r="A90" t="s">
        <v>11</v>
      </c>
      <c r="B90">
        <f t="shared" si="4"/>
        <v>1</v>
      </c>
      <c r="C90" t="s">
        <v>8</v>
      </c>
      <c r="D90">
        <f t="shared" si="5"/>
        <v>1</v>
      </c>
      <c r="E90" t="s">
        <v>23</v>
      </c>
      <c r="F90">
        <f t="shared" si="6"/>
        <v>4</v>
      </c>
      <c r="G90" t="s">
        <v>24</v>
      </c>
      <c r="H90">
        <f t="shared" si="7"/>
        <v>2</v>
      </c>
    </row>
    <row r="91" spans="1:8" x14ac:dyDescent="0.35">
      <c r="A91" t="s">
        <v>11</v>
      </c>
      <c r="B91">
        <f t="shared" si="4"/>
        <v>1</v>
      </c>
      <c r="C91" t="s">
        <v>8</v>
      </c>
      <c r="D91">
        <f t="shared" si="5"/>
        <v>1</v>
      </c>
      <c r="E91" t="s">
        <v>23</v>
      </c>
      <c r="F91">
        <f t="shared" si="6"/>
        <v>4</v>
      </c>
      <c r="G91" t="s">
        <v>24</v>
      </c>
      <c r="H91">
        <f t="shared" si="7"/>
        <v>2</v>
      </c>
    </row>
    <row r="92" spans="1:8" x14ac:dyDescent="0.35">
      <c r="A92" t="s">
        <v>11</v>
      </c>
      <c r="B92">
        <f t="shared" si="4"/>
        <v>1</v>
      </c>
      <c r="C92" t="s">
        <v>22</v>
      </c>
      <c r="D92">
        <f t="shared" si="5"/>
        <v>2</v>
      </c>
      <c r="E92" t="s">
        <v>25</v>
      </c>
      <c r="F92">
        <f t="shared" si="6"/>
        <v>2</v>
      </c>
      <c r="G92" t="s">
        <v>10</v>
      </c>
      <c r="H92">
        <f t="shared" si="7"/>
        <v>1</v>
      </c>
    </row>
    <row r="93" spans="1:8" x14ac:dyDescent="0.35">
      <c r="A93" t="s">
        <v>11</v>
      </c>
      <c r="B93">
        <f t="shared" si="4"/>
        <v>1</v>
      </c>
      <c r="C93" t="s">
        <v>8</v>
      </c>
      <c r="D93">
        <f t="shared" si="5"/>
        <v>1</v>
      </c>
      <c r="E93" t="s">
        <v>25</v>
      </c>
      <c r="F93">
        <f t="shared" si="6"/>
        <v>2</v>
      </c>
      <c r="G93" t="s">
        <v>10</v>
      </c>
      <c r="H93">
        <f t="shared" si="7"/>
        <v>1</v>
      </c>
    </row>
    <row r="94" spans="1:8" x14ac:dyDescent="0.35">
      <c r="A94" t="s">
        <v>7</v>
      </c>
      <c r="B94">
        <f t="shared" si="4"/>
        <v>2</v>
      </c>
      <c r="C94" t="s">
        <v>22</v>
      </c>
      <c r="D94">
        <f t="shared" si="5"/>
        <v>2</v>
      </c>
      <c r="E94" t="s">
        <v>25</v>
      </c>
      <c r="F94">
        <f t="shared" si="6"/>
        <v>2</v>
      </c>
      <c r="G94" t="s">
        <v>10</v>
      </c>
      <c r="H94">
        <f t="shared" si="7"/>
        <v>1</v>
      </c>
    </row>
    <row r="95" spans="1:8" x14ac:dyDescent="0.35">
      <c r="A95" t="s">
        <v>7</v>
      </c>
      <c r="B95">
        <f t="shared" si="4"/>
        <v>2</v>
      </c>
      <c r="C95" t="s">
        <v>22</v>
      </c>
      <c r="D95">
        <f t="shared" si="5"/>
        <v>2</v>
      </c>
      <c r="E95" t="s">
        <v>25</v>
      </c>
      <c r="F95">
        <f t="shared" si="6"/>
        <v>2</v>
      </c>
      <c r="G95" t="s">
        <v>10</v>
      </c>
      <c r="H95">
        <f t="shared" si="7"/>
        <v>1</v>
      </c>
    </row>
    <row r="96" spans="1:8" x14ac:dyDescent="0.35">
      <c r="A96" t="s">
        <v>7</v>
      </c>
      <c r="B96">
        <f t="shared" si="4"/>
        <v>2</v>
      </c>
      <c r="C96" t="s">
        <v>8</v>
      </c>
      <c r="D96">
        <f t="shared" si="5"/>
        <v>1</v>
      </c>
      <c r="E96" t="s">
        <v>25</v>
      </c>
      <c r="F96">
        <f t="shared" si="6"/>
        <v>2</v>
      </c>
      <c r="G96" t="s">
        <v>10</v>
      </c>
      <c r="H96">
        <f t="shared" si="7"/>
        <v>1</v>
      </c>
    </row>
    <row r="97" spans="1:8" x14ac:dyDescent="0.35">
      <c r="A97" t="s">
        <v>11</v>
      </c>
      <c r="B97">
        <f t="shared" si="4"/>
        <v>1</v>
      </c>
      <c r="C97" t="s">
        <v>22</v>
      </c>
      <c r="D97">
        <f t="shared" si="5"/>
        <v>2</v>
      </c>
      <c r="E97" t="s">
        <v>25</v>
      </c>
      <c r="F97">
        <f t="shared" si="6"/>
        <v>2</v>
      </c>
      <c r="G97" t="s">
        <v>10</v>
      </c>
      <c r="H97">
        <f t="shared" si="7"/>
        <v>1</v>
      </c>
    </row>
    <row r="98" spans="1:8" x14ac:dyDescent="0.35">
      <c r="A98" t="s">
        <v>11</v>
      </c>
      <c r="B98">
        <f t="shared" si="4"/>
        <v>1</v>
      </c>
      <c r="C98" t="s">
        <v>22</v>
      </c>
      <c r="D98">
        <f t="shared" si="5"/>
        <v>2</v>
      </c>
      <c r="E98" t="s">
        <v>25</v>
      </c>
      <c r="F98">
        <f t="shared" si="6"/>
        <v>2</v>
      </c>
      <c r="G98" t="s">
        <v>10</v>
      </c>
      <c r="H98">
        <f t="shared" si="7"/>
        <v>1</v>
      </c>
    </row>
    <row r="99" spans="1:8" x14ac:dyDescent="0.35">
      <c r="A99" t="s">
        <v>11</v>
      </c>
      <c r="B99">
        <f t="shared" si="4"/>
        <v>1</v>
      </c>
      <c r="C99" t="s">
        <v>22</v>
      </c>
      <c r="D99">
        <f t="shared" si="5"/>
        <v>2</v>
      </c>
      <c r="E99" t="s">
        <v>25</v>
      </c>
      <c r="F99">
        <f t="shared" si="6"/>
        <v>2</v>
      </c>
      <c r="G99" t="s">
        <v>10</v>
      </c>
      <c r="H99">
        <f t="shared" si="7"/>
        <v>1</v>
      </c>
    </row>
    <row r="100" spans="1:8" x14ac:dyDescent="0.35">
      <c r="A100" t="s">
        <v>11</v>
      </c>
      <c r="B100">
        <f t="shared" si="4"/>
        <v>1</v>
      </c>
      <c r="C100" t="s">
        <v>22</v>
      </c>
      <c r="D100">
        <f t="shared" si="5"/>
        <v>2</v>
      </c>
      <c r="E100" t="s">
        <v>25</v>
      </c>
      <c r="F100">
        <f t="shared" si="6"/>
        <v>2</v>
      </c>
      <c r="G100" t="s">
        <v>10</v>
      </c>
      <c r="H100">
        <f t="shared" si="7"/>
        <v>1</v>
      </c>
    </row>
    <row r="101" spans="1:8" x14ac:dyDescent="0.35">
      <c r="A101" t="s">
        <v>11</v>
      </c>
      <c r="B101">
        <f t="shared" si="4"/>
        <v>1</v>
      </c>
      <c r="C101" t="s">
        <v>8</v>
      </c>
      <c r="D101">
        <f t="shared" si="5"/>
        <v>1</v>
      </c>
      <c r="E101" t="s">
        <v>25</v>
      </c>
      <c r="F101">
        <f t="shared" si="6"/>
        <v>2</v>
      </c>
      <c r="G101" t="s">
        <v>10</v>
      </c>
      <c r="H101">
        <f t="shared" si="7"/>
        <v>1</v>
      </c>
    </row>
    <row r="102" spans="1:8" x14ac:dyDescent="0.35">
      <c r="A102" t="s">
        <v>7</v>
      </c>
      <c r="B102">
        <f t="shared" si="4"/>
        <v>2</v>
      </c>
      <c r="C102" t="s">
        <v>22</v>
      </c>
      <c r="D102">
        <f t="shared" si="5"/>
        <v>2</v>
      </c>
      <c r="E102" t="s">
        <v>25</v>
      </c>
      <c r="F102">
        <f t="shared" si="6"/>
        <v>2</v>
      </c>
      <c r="G102" t="s">
        <v>10</v>
      </c>
      <c r="H102">
        <f t="shared" si="7"/>
        <v>1</v>
      </c>
    </row>
    <row r="103" spans="1:8" x14ac:dyDescent="0.35">
      <c r="A103" t="s">
        <v>7</v>
      </c>
      <c r="B103">
        <f t="shared" si="4"/>
        <v>2</v>
      </c>
      <c r="C103" t="s">
        <v>22</v>
      </c>
      <c r="D103">
        <f t="shared" si="5"/>
        <v>2</v>
      </c>
      <c r="E103" t="s">
        <v>25</v>
      </c>
      <c r="F103">
        <f t="shared" si="6"/>
        <v>2</v>
      </c>
      <c r="G103" t="s">
        <v>10</v>
      </c>
      <c r="H103">
        <f t="shared" si="7"/>
        <v>1</v>
      </c>
    </row>
    <row r="104" spans="1:8" x14ac:dyDescent="0.35">
      <c r="A104" t="s">
        <v>7</v>
      </c>
      <c r="B104">
        <f t="shared" si="4"/>
        <v>2</v>
      </c>
      <c r="C104" t="s">
        <v>22</v>
      </c>
      <c r="D104">
        <f t="shared" si="5"/>
        <v>2</v>
      </c>
      <c r="E104" t="s">
        <v>21</v>
      </c>
      <c r="F104">
        <f t="shared" si="6"/>
        <v>3</v>
      </c>
      <c r="G104" t="s">
        <v>10</v>
      </c>
      <c r="H104">
        <f t="shared" si="7"/>
        <v>1</v>
      </c>
    </row>
    <row r="105" spans="1:8" x14ac:dyDescent="0.35">
      <c r="A105" t="s">
        <v>7</v>
      </c>
      <c r="B105">
        <f t="shared" si="4"/>
        <v>2</v>
      </c>
      <c r="C105" t="s">
        <v>22</v>
      </c>
      <c r="D105">
        <f t="shared" si="5"/>
        <v>2</v>
      </c>
      <c r="E105" t="s">
        <v>21</v>
      </c>
      <c r="F105">
        <f t="shared" si="6"/>
        <v>3</v>
      </c>
      <c r="G105" t="s">
        <v>10</v>
      </c>
      <c r="H105">
        <f t="shared" si="7"/>
        <v>1</v>
      </c>
    </row>
    <row r="106" spans="1:8" x14ac:dyDescent="0.35">
      <c r="A106" t="s">
        <v>7</v>
      </c>
      <c r="B106">
        <f t="shared" si="4"/>
        <v>2</v>
      </c>
      <c r="C106" t="s">
        <v>8</v>
      </c>
      <c r="D106">
        <f t="shared" si="5"/>
        <v>1</v>
      </c>
      <c r="E106" t="s">
        <v>21</v>
      </c>
      <c r="F106">
        <f t="shared" si="6"/>
        <v>3</v>
      </c>
      <c r="G106" t="s">
        <v>10</v>
      </c>
      <c r="H106">
        <f t="shared" si="7"/>
        <v>1</v>
      </c>
    </row>
    <row r="107" spans="1:8" x14ac:dyDescent="0.35">
      <c r="A107" t="s">
        <v>11</v>
      </c>
      <c r="B107">
        <f t="shared" si="4"/>
        <v>1</v>
      </c>
      <c r="C107" t="s">
        <v>22</v>
      </c>
      <c r="D107">
        <f t="shared" si="5"/>
        <v>2</v>
      </c>
      <c r="E107" t="s">
        <v>21</v>
      </c>
      <c r="F107">
        <f t="shared" si="6"/>
        <v>3</v>
      </c>
      <c r="G107" t="s">
        <v>10</v>
      </c>
      <c r="H107">
        <f t="shared" si="7"/>
        <v>1</v>
      </c>
    </row>
    <row r="108" spans="1:8" x14ac:dyDescent="0.35">
      <c r="A108" t="s">
        <v>11</v>
      </c>
      <c r="B108">
        <f t="shared" si="4"/>
        <v>1</v>
      </c>
      <c r="C108" t="s">
        <v>22</v>
      </c>
      <c r="D108">
        <f t="shared" si="5"/>
        <v>2</v>
      </c>
      <c r="E108" t="s">
        <v>21</v>
      </c>
      <c r="F108">
        <f t="shared" si="6"/>
        <v>3</v>
      </c>
      <c r="G108" t="s">
        <v>10</v>
      </c>
      <c r="H108">
        <f t="shared" si="7"/>
        <v>1</v>
      </c>
    </row>
    <row r="109" spans="1:8" x14ac:dyDescent="0.35">
      <c r="A109" t="s">
        <v>11</v>
      </c>
      <c r="B109">
        <f t="shared" si="4"/>
        <v>1</v>
      </c>
      <c r="C109" t="s">
        <v>22</v>
      </c>
      <c r="D109">
        <f t="shared" si="5"/>
        <v>2</v>
      </c>
      <c r="E109" t="s">
        <v>21</v>
      </c>
      <c r="F109">
        <f t="shared" si="6"/>
        <v>3</v>
      </c>
      <c r="G109" t="s">
        <v>10</v>
      </c>
      <c r="H109">
        <f t="shared" si="7"/>
        <v>1</v>
      </c>
    </row>
    <row r="110" spans="1:8" x14ac:dyDescent="0.35">
      <c r="A110" t="s">
        <v>11</v>
      </c>
      <c r="B110">
        <f t="shared" si="4"/>
        <v>1</v>
      </c>
      <c r="C110" t="s">
        <v>8</v>
      </c>
      <c r="D110">
        <f t="shared" si="5"/>
        <v>1</v>
      </c>
      <c r="E110" t="s">
        <v>21</v>
      </c>
      <c r="F110">
        <f t="shared" si="6"/>
        <v>3</v>
      </c>
      <c r="G110" t="s">
        <v>10</v>
      </c>
      <c r="H110">
        <f t="shared" si="7"/>
        <v>1</v>
      </c>
    </row>
    <row r="111" spans="1:8" x14ac:dyDescent="0.35">
      <c r="A111" t="s">
        <v>7</v>
      </c>
      <c r="B111">
        <f t="shared" si="4"/>
        <v>2</v>
      </c>
      <c r="C111" t="s">
        <v>22</v>
      </c>
      <c r="D111">
        <f t="shared" si="5"/>
        <v>2</v>
      </c>
      <c r="E111" t="s">
        <v>21</v>
      </c>
      <c r="F111">
        <f t="shared" si="6"/>
        <v>3</v>
      </c>
      <c r="G111" t="s">
        <v>10</v>
      </c>
      <c r="H111">
        <f t="shared" si="7"/>
        <v>1</v>
      </c>
    </row>
    <row r="112" spans="1:8" x14ac:dyDescent="0.35">
      <c r="A112" t="s">
        <v>11</v>
      </c>
      <c r="B112">
        <f t="shared" si="4"/>
        <v>1</v>
      </c>
      <c r="C112" t="s">
        <v>8</v>
      </c>
      <c r="D112">
        <f t="shared" si="5"/>
        <v>1</v>
      </c>
      <c r="E112" t="s">
        <v>21</v>
      </c>
      <c r="F112">
        <f t="shared" si="6"/>
        <v>3</v>
      </c>
      <c r="G112" t="s">
        <v>10</v>
      </c>
      <c r="H112">
        <f t="shared" si="7"/>
        <v>1</v>
      </c>
    </row>
    <row r="113" spans="1:8" x14ac:dyDescent="0.35">
      <c r="A113" t="s">
        <v>7</v>
      </c>
      <c r="B113">
        <f t="shared" si="4"/>
        <v>2</v>
      </c>
      <c r="C113" t="s">
        <v>8</v>
      </c>
      <c r="D113">
        <f t="shared" si="5"/>
        <v>1</v>
      </c>
      <c r="E113" t="s">
        <v>21</v>
      </c>
      <c r="F113">
        <f t="shared" si="6"/>
        <v>3</v>
      </c>
      <c r="G113" t="s">
        <v>10</v>
      </c>
      <c r="H113">
        <f t="shared" si="7"/>
        <v>1</v>
      </c>
    </row>
    <row r="114" spans="1:8" x14ac:dyDescent="0.35">
      <c r="A114" t="s">
        <v>11</v>
      </c>
      <c r="B114">
        <f t="shared" si="4"/>
        <v>1</v>
      </c>
      <c r="C114" t="s">
        <v>8</v>
      </c>
      <c r="D114">
        <f t="shared" si="5"/>
        <v>1</v>
      </c>
      <c r="E114" t="s">
        <v>9</v>
      </c>
      <c r="F114">
        <f t="shared" si="6"/>
        <v>1</v>
      </c>
      <c r="G114" t="s">
        <v>10</v>
      </c>
      <c r="H114">
        <f t="shared" si="7"/>
        <v>1</v>
      </c>
    </row>
    <row r="115" spans="1:8" x14ac:dyDescent="0.35">
      <c r="A115" t="s">
        <v>11</v>
      </c>
      <c r="B115">
        <f t="shared" si="4"/>
        <v>1</v>
      </c>
      <c r="C115" t="s">
        <v>8</v>
      </c>
      <c r="D115">
        <f t="shared" si="5"/>
        <v>1</v>
      </c>
      <c r="E115" t="s">
        <v>9</v>
      </c>
      <c r="F115">
        <f t="shared" si="6"/>
        <v>1</v>
      </c>
      <c r="G115" t="s">
        <v>10</v>
      </c>
      <c r="H115">
        <f t="shared" si="7"/>
        <v>1</v>
      </c>
    </row>
    <row r="116" spans="1:8" x14ac:dyDescent="0.35">
      <c r="A116" t="s">
        <v>7</v>
      </c>
      <c r="B116">
        <f t="shared" si="4"/>
        <v>2</v>
      </c>
      <c r="C116" t="s">
        <v>8</v>
      </c>
      <c r="D116">
        <f t="shared" si="5"/>
        <v>1</v>
      </c>
      <c r="E116" t="s">
        <v>9</v>
      </c>
      <c r="F116">
        <f t="shared" si="6"/>
        <v>1</v>
      </c>
      <c r="G116" t="s">
        <v>10</v>
      </c>
      <c r="H116">
        <f t="shared" si="7"/>
        <v>1</v>
      </c>
    </row>
    <row r="117" spans="1:8" x14ac:dyDescent="0.35">
      <c r="A117" t="s">
        <v>7</v>
      </c>
      <c r="B117">
        <f t="shared" si="4"/>
        <v>2</v>
      </c>
      <c r="C117" t="s">
        <v>8</v>
      </c>
      <c r="D117">
        <f t="shared" si="5"/>
        <v>1</v>
      </c>
      <c r="E117" t="s">
        <v>9</v>
      </c>
      <c r="F117">
        <f t="shared" si="6"/>
        <v>1</v>
      </c>
      <c r="G117" t="s">
        <v>10</v>
      </c>
      <c r="H117">
        <f t="shared" si="7"/>
        <v>1</v>
      </c>
    </row>
    <row r="118" spans="1:8" x14ac:dyDescent="0.35">
      <c r="A118" t="s">
        <v>11</v>
      </c>
      <c r="B118">
        <f t="shared" si="4"/>
        <v>1</v>
      </c>
      <c r="C118" t="s">
        <v>8</v>
      </c>
      <c r="D118">
        <f t="shared" si="5"/>
        <v>1</v>
      </c>
      <c r="E118" t="s">
        <v>9</v>
      </c>
      <c r="F118">
        <f t="shared" si="6"/>
        <v>1</v>
      </c>
      <c r="G118" t="s">
        <v>10</v>
      </c>
      <c r="H118">
        <f t="shared" si="7"/>
        <v>1</v>
      </c>
    </row>
    <row r="119" spans="1:8" x14ac:dyDescent="0.35">
      <c r="A119" t="s">
        <v>7</v>
      </c>
      <c r="B119">
        <f t="shared" si="4"/>
        <v>2</v>
      </c>
      <c r="C119" t="s">
        <v>8</v>
      </c>
      <c r="D119">
        <f t="shared" si="5"/>
        <v>1</v>
      </c>
      <c r="E119" t="s">
        <v>23</v>
      </c>
      <c r="F119">
        <f t="shared" si="6"/>
        <v>4</v>
      </c>
      <c r="G119" t="s">
        <v>24</v>
      </c>
      <c r="H119">
        <f t="shared" si="7"/>
        <v>2</v>
      </c>
    </row>
    <row r="120" spans="1:8" x14ac:dyDescent="0.35">
      <c r="A120" t="s">
        <v>7</v>
      </c>
      <c r="B120">
        <f t="shared" si="4"/>
        <v>2</v>
      </c>
      <c r="C120" t="s">
        <v>8</v>
      </c>
      <c r="D120">
        <f t="shared" si="5"/>
        <v>1</v>
      </c>
      <c r="E120" t="s">
        <v>23</v>
      </c>
      <c r="F120">
        <f t="shared" si="6"/>
        <v>4</v>
      </c>
      <c r="G120" t="s">
        <v>24</v>
      </c>
      <c r="H120">
        <f t="shared" si="7"/>
        <v>2</v>
      </c>
    </row>
    <row r="121" spans="1:8" x14ac:dyDescent="0.35">
      <c r="A121" t="s">
        <v>7</v>
      </c>
      <c r="B121">
        <f t="shared" si="4"/>
        <v>2</v>
      </c>
      <c r="C121" t="s">
        <v>8</v>
      </c>
      <c r="D121">
        <f t="shared" si="5"/>
        <v>1</v>
      </c>
      <c r="E121" t="s">
        <v>23</v>
      </c>
      <c r="F121">
        <f t="shared" si="6"/>
        <v>4</v>
      </c>
      <c r="G121" t="s">
        <v>24</v>
      </c>
      <c r="H121">
        <f t="shared" si="7"/>
        <v>2</v>
      </c>
    </row>
    <row r="122" spans="1:8" x14ac:dyDescent="0.35">
      <c r="A122" t="s">
        <v>11</v>
      </c>
      <c r="B122">
        <f t="shared" si="4"/>
        <v>1</v>
      </c>
      <c r="C122" t="s">
        <v>8</v>
      </c>
      <c r="D122">
        <f t="shared" si="5"/>
        <v>1</v>
      </c>
      <c r="E122" t="s">
        <v>23</v>
      </c>
      <c r="F122">
        <f t="shared" si="6"/>
        <v>4</v>
      </c>
      <c r="G122" t="s">
        <v>24</v>
      </c>
      <c r="H122">
        <f t="shared" si="7"/>
        <v>2</v>
      </c>
    </row>
    <row r="123" spans="1:8" x14ac:dyDescent="0.35">
      <c r="A123" t="s">
        <v>7</v>
      </c>
      <c r="B123">
        <f t="shared" si="4"/>
        <v>2</v>
      </c>
      <c r="C123" t="s">
        <v>8</v>
      </c>
      <c r="D123">
        <f t="shared" si="5"/>
        <v>1</v>
      </c>
      <c r="E123" t="s">
        <v>23</v>
      </c>
      <c r="F123">
        <f t="shared" si="6"/>
        <v>4</v>
      </c>
      <c r="G123" t="s">
        <v>24</v>
      </c>
      <c r="H123">
        <f t="shared" si="7"/>
        <v>2</v>
      </c>
    </row>
    <row r="124" spans="1:8" x14ac:dyDescent="0.35">
      <c r="A124" t="s">
        <v>11</v>
      </c>
      <c r="B124">
        <f t="shared" si="4"/>
        <v>1</v>
      </c>
      <c r="C124" t="s">
        <v>8</v>
      </c>
      <c r="D124">
        <f t="shared" si="5"/>
        <v>1</v>
      </c>
      <c r="E124" t="s">
        <v>23</v>
      </c>
      <c r="F124">
        <f t="shared" si="6"/>
        <v>4</v>
      </c>
      <c r="G124" t="s">
        <v>24</v>
      </c>
      <c r="H124">
        <f t="shared" si="7"/>
        <v>2</v>
      </c>
    </row>
    <row r="125" spans="1:8" x14ac:dyDescent="0.35">
      <c r="A125" t="s">
        <v>11</v>
      </c>
      <c r="B125">
        <f t="shared" si="4"/>
        <v>1</v>
      </c>
      <c r="C125" t="s">
        <v>8</v>
      </c>
      <c r="D125">
        <f t="shared" si="5"/>
        <v>1</v>
      </c>
      <c r="E125" t="s">
        <v>23</v>
      </c>
      <c r="F125">
        <f t="shared" si="6"/>
        <v>4</v>
      </c>
      <c r="G125" t="s">
        <v>24</v>
      </c>
      <c r="H125">
        <f t="shared" si="7"/>
        <v>2</v>
      </c>
    </row>
    <row r="126" spans="1:8" x14ac:dyDescent="0.35">
      <c r="A126" t="s">
        <v>7</v>
      </c>
      <c r="B126">
        <f t="shared" si="4"/>
        <v>2</v>
      </c>
      <c r="C126" t="s">
        <v>8</v>
      </c>
      <c r="D126">
        <f t="shared" si="5"/>
        <v>1</v>
      </c>
      <c r="E126" t="s">
        <v>23</v>
      </c>
      <c r="F126">
        <f t="shared" si="6"/>
        <v>4</v>
      </c>
      <c r="G126" t="s">
        <v>24</v>
      </c>
      <c r="H126">
        <f t="shared" si="7"/>
        <v>2</v>
      </c>
    </row>
    <row r="127" spans="1:8" x14ac:dyDescent="0.35">
      <c r="A127" t="s">
        <v>7</v>
      </c>
      <c r="B127">
        <f t="shared" si="4"/>
        <v>2</v>
      </c>
      <c r="C127" t="s">
        <v>8</v>
      </c>
      <c r="D127">
        <f t="shared" si="5"/>
        <v>1</v>
      </c>
      <c r="E127" t="s">
        <v>23</v>
      </c>
      <c r="F127">
        <f t="shared" si="6"/>
        <v>4</v>
      </c>
      <c r="G127" t="s">
        <v>24</v>
      </c>
      <c r="H127">
        <f t="shared" si="7"/>
        <v>2</v>
      </c>
    </row>
    <row r="128" spans="1:8" x14ac:dyDescent="0.35">
      <c r="A128" t="s">
        <v>11</v>
      </c>
      <c r="B128">
        <f t="shared" si="4"/>
        <v>1</v>
      </c>
      <c r="C128" t="s">
        <v>8</v>
      </c>
      <c r="D128">
        <f t="shared" si="5"/>
        <v>1</v>
      </c>
      <c r="E128" t="s">
        <v>23</v>
      </c>
      <c r="F128">
        <f t="shared" si="6"/>
        <v>4</v>
      </c>
      <c r="G128" t="s">
        <v>24</v>
      </c>
      <c r="H128">
        <f t="shared" si="7"/>
        <v>2</v>
      </c>
    </row>
    <row r="129" spans="1:8" x14ac:dyDescent="0.35">
      <c r="A129" t="s">
        <v>7</v>
      </c>
      <c r="B129">
        <f t="shared" si="4"/>
        <v>2</v>
      </c>
      <c r="C129" t="s">
        <v>8</v>
      </c>
      <c r="D129">
        <f t="shared" si="5"/>
        <v>1</v>
      </c>
      <c r="E129" t="s">
        <v>23</v>
      </c>
      <c r="F129">
        <f t="shared" si="6"/>
        <v>4</v>
      </c>
      <c r="G129" t="s">
        <v>24</v>
      </c>
      <c r="H129">
        <f t="shared" si="7"/>
        <v>2</v>
      </c>
    </row>
    <row r="130" spans="1:8" x14ac:dyDescent="0.35">
      <c r="A130" t="s">
        <v>7</v>
      </c>
      <c r="B130">
        <f t="shared" si="4"/>
        <v>2</v>
      </c>
      <c r="C130" t="s">
        <v>8</v>
      </c>
      <c r="D130">
        <f t="shared" si="5"/>
        <v>1</v>
      </c>
      <c r="E130" t="s">
        <v>23</v>
      </c>
      <c r="F130">
        <f t="shared" si="6"/>
        <v>4</v>
      </c>
      <c r="G130" t="s">
        <v>24</v>
      </c>
      <c r="H130">
        <f t="shared" si="7"/>
        <v>2</v>
      </c>
    </row>
    <row r="131" spans="1:8" x14ac:dyDescent="0.35">
      <c r="A131" t="s">
        <v>11</v>
      </c>
      <c r="B131">
        <f t="shared" ref="B131:B194" si="8">IF($A131="Male",1,2)</f>
        <v>1</v>
      </c>
      <c r="C131" t="s">
        <v>8</v>
      </c>
      <c r="D131">
        <f t="shared" ref="D131:D194" si="9">IF($C131="No",1,2)</f>
        <v>1</v>
      </c>
      <c r="E131" t="s">
        <v>23</v>
      </c>
      <c r="F131">
        <f t="shared" ref="F131:F194" si="10">IF($E131="Sun",1,IF($E131="Fri",2,IF($E131="Sat",3,IF($E131="Thur",4))))</f>
        <v>4</v>
      </c>
      <c r="G131" t="s">
        <v>24</v>
      </c>
      <c r="H131">
        <f t="shared" ref="H131:H194" si="11">IF($G131="Dinner",1,2)</f>
        <v>2</v>
      </c>
    </row>
    <row r="132" spans="1:8" x14ac:dyDescent="0.35">
      <c r="A132" t="s">
        <v>11</v>
      </c>
      <c r="B132">
        <f t="shared" si="8"/>
        <v>1</v>
      </c>
      <c r="C132" t="s">
        <v>8</v>
      </c>
      <c r="D132">
        <f t="shared" si="9"/>
        <v>1</v>
      </c>
      <c r="E132" t="s">
        <v>23</v>
      </c>
      <c r="F132">
        <f t="shared" si="10"/>
        <v>4</v>
      </c>
      <c r="G132" t="s">
        <v>24</v>
      </c>
      <c r="H132">
        <f t="shared" si="11"/>
        <v>2</v>
      </c>
    </row>
    <row r="133" spans="1:8" x14ac:dyDescent="0.35">
      <c r="A133" t="s">
        <v>7</v>
      </c>
      <c r="B133">
        <f t="shared" si="8"/>
        <v>2</v>
      </c>
      <c r="C133" t="s">
        <v>8</v>
      </c>
      <c r="D133">
        <f t="shared" si="9"/>
        <v>1</v>
      </c>
      <c r="E133" t="s">
        <v>23</v>
      </c>
      <c r="F133">
        <f t="shared" si="10"/>
        <v>4</v>
      </c>
      <c r="G133" t="s">
        <v>24</v>
      </c>
      <c r="H133">
        <f t="shared" si="11"/>
        <v>2</v>
      </c>
    </row>
    <row r="134" spans="1:8" x14ac:dyDescent="0.35">
      <c r="A134" t="s">
        <v>7</v>
      </c>
      <c r="B134">
        <f t="shared" si="8"/>
        <v>2</v>
      </c>
      <c r="C134" t="s">
        <v>8</v>
      </c>
      <c r="D134">
        <f t="shared" si="9"/>
        <v>1</v>
      </c>
      <c r="E134" t="s">
        <v>23</v>
      </c>
      <c r="F134">
        <f t="shared" si="10"/>
        <v>4</v>
      </c>
      <c r="G134" t="s">
        <v>24</v>
      </c>
      <c r="H134">
        <f t="shared" si="11"/>
        <v>2</v>
      </c>
    </row>
    <row r="135" spans="1:8" x14ac:dyDescent="0.35">
      <c r="A135" t="s">
        <v>7</v>
      </c>
      <c r="B135">
        <f t="shared" si="8"/>
        <v>2</v>
      </c>
      <c r="C135" t="s">
        <v>8</v>
      </c>
      <c r="D135">
        <f t="shared" si="9"/>
        <v>1</v>
      </c>
      <c r="E135" t="s">
        <v>23</v>
      </c>
      <c r="F135">
        <f t="shared" si="10"/>
        <v>4</v>
      </c>
      <c r="G135" t="s">
        <v>24</v>
      </c>
      <c r="H135">
        <f t="shared" si="11"/>
        <v>2</v>
      </c>
    </row>
    <row r="136" spans="1:8" x14ac:dyDescent="0.35">
      <c r="A136" t="s">
        <v>7</v>
      </c>
      <c r="B136">
        <f t="shared" si="8"/>
        <v>2</v>
      </c>
      <c r="C136" t="s">
        <v>8</v>
      </c>
      <c r="D136">
        <f t="shared" si="9"/>
        <v>1</v>
      </c>
      <c r="E136" t="s">
        <v>23</v>
      </c>
      <c r="F136">
        <f t="shared" si="10"/>
        <v>4</v>
      </c>
      <c r="G136" t="s">
        <v>24</v>
      </c>
      <c r="H136">
        <f t="shared" si="11"/>
        <v>2</v>
      </c>
    </row>
    <row r="137" spans="1:8" x14ac:dyDescent="0.35">
      <c r="A137" t="s">
        <v>7</v>
      </c>
      <c r="B137">
        <f t="shared" si="8"/>
        <v>2</v>
      </c>
      <c r="C137" t="s">
        <v>8</v>
      </c>
      <c r="D137">
        <f t="shared" si="9"/>
        <v>1</v>
      </c>
      <c r="E137" t="s">
        <v>23</v>
      </c>
      <c r="F137">
        <f t="shared" si="10"/>
        <v>4</v>
      </c>
      <c r="G137" t="s">
        <v>24</v>
      </c>
      <c r="H137">
        <f t="shared" si="11"/>
        <v>2</v>
      </c>
    </row>
    <row r="138" spans="1:8" x14ac:dyDescent="0.35">
      <c r="A138" t="s">
        <v>7</v>
      </c>
      <c r="B138">
        <f t="shared" si="8"/>
        <v>2</v>
      </c>
      <c r="C138" t="s">
        <v>8</v>
      </c>
      <c r="D138">
        <f t="shared" si="9"/>
        <v>1</v>
      </c>
      <c r="E138" t="s">
        <v>23</v>
      </c>
      <c r="F138">
        <f t="shared" si="10"/>
        <v>4</v>
      </c>
      <c r="G138" t="s">
        <v>24</v>
      </c>
      <c r="H138">
        <f t="shared" si="11"/>
        <v>2</v>
      </c>
    </row>
    <row r="139" spans="1:8" x14ac:dyDescent="0.35">
      <c r="A139" t="s">
        <v>7</v>
      </c>
      <c r="B139">
        <f t="shared" si="8"/>
        <v>2</v>
      </c>
      <c r="C139" t="s">
        <v>8</v>
      </c>
      <c r="D139">
        <f t="shared" si="9"/>
        <v>1</v>
      </c>
      <c r="E139" t="s">
        <v>23</v>
      </c>
      <c r="F139">
        <f t="shared" si="10"/>
        <v>4</v>
      </c>
      <c r="G139" t="s">
        <v>24</v>
      </c>
      <c r="H139">
        <f t="shared" si="11"/>
        <v>2</v>
      </c>
    </row>
    <row r="140" spans="1:8" x14ac:dyDescent="0.35">
      <c r="A140" t="s">
        <v>11</v>
      </c>
      <c r="B140">
        <f t="shared" si="8"/>
        <v>1</v>
      </c>
      <c r="C140" t="s">
        <v>22</v>
      </c>
      <c r="D140">
        <f t="shared" si="9"/>
        <v>2</v>
      </c>
      <c r="E140" t="s">
        <v>23</v>
      </c>
      <c r="F140">
        <f t="shared" si="10"/>
        <v>4</v>
      </c>
      <c r="G140" t="s">
        <v>24</v>
      </c>
      <c r="H140">
        <f t="shared" si="11"/>
        <v>2</v>
      </c>
    </row>
    <row r="141" spans="1:8" x14ac:dyDescent="0.35">
      <c r="A141" t="s">
        <v>7</v>
      </c>
      <c r="B141">
        <f t="shared" si="8"/>
        <v>2</v>
      </c>
      <c r="C141" t="s">
        <v>8</v>
      </c>
      <c r="D141">
        <f t="shared" si="9"/>
        <v>1</v>
      </c>
      <c r="E141" t="s">
        <v>23</v>
      </c>
      <c r="F141">
        <f t="shared" si="10"/>
        <v>4</v>
      </c>
      <c r="G141" t="s">
        <v>24</v>
      </c>
      <c r="H141">
        <f t="shared" si="11"/>
        <v>2</v>
      </c>
    </row>
    <row r="142" spans="1:8" x14ac:dyDescent="0.35">
      <c r="A142" t="s">
        <v>7</v>
      </c>
      <c r="B142">
        <f t="shared" si="8"/>
        <v>2</v>
      </c>
      <c r="C142" t="s">
        <v>8</v>
      </c>
      <c r="D142">
        <f t="shared" si="9"/>
        <v>1</v>
      </c>
      <c r="E142" t="s">
        <v>23</v>
      </c>
      <c r="F142">
        <f t="shared" si="10"/>
        <v>4</v>
      </c>
      <c r="G142" t="s">
        <v>24</v>
      </c>
      <c r="H142">
        <f t="shared" si="11"/>
        <v>2</v>
      </c>
    </row>
    <row r="143" spans="1:8" x14ac:dyDescent="0.35">
      <c r="A143" t="s">
        <v>11</v>
      </c>
      <c r="B143">
        <f t="shared" si="8"/>
        <v>1</v>
      </c>
      <c r="C143" t="s">
        <v>8</v>
      </c>
      <c r="D143">
        <f t="shared" si="9"/>
        <v>1</v>
      </c>
      <c r="E143" t="s">
        <v>23</v>
      </c>
      <c r="F143">
        <f t="shared" si="10"/>
        <v>4</v>
      </c>
      <c r="G143" t="s">
        <v>24</v>
      </c>
      <c r="H143">
        <f t="shared" si="11"/>
        <v>2</v>
      </c>
    </row>
    <row r="144" spans="1:8" x14ac:dyDescent="0.35">
      <c r="A144" t="s">
        <v>11</v>
      </c>
      <c r="B144">
        <f t="shared" si="8"/>
        <v>1</v>
      </c>
      <c r="C144" t="s">
        <v>8</v>
      </c>
      <c r="D144">
        <f t="shared" si="9"/>
        <v>1</v>
      </c>
      <c r="E144" t="s">
        <v>23</v>
      </c>
      <c r="F144">
        <f t="shared" si="10"/>
        <v>4</v>
      </c>
      <c r="G144" t="s">
        <v>24</v>
      </c>
      <c r="H144">
        <f t="shared" si="11"/>
        <v>2</v>
      </c>
    </row>
    <row r="145" spans="1:8" x14ac:dyDescent="0.35">
      <c r="A145" t="s">
        <v>7</v>
      </c>
      <c r="B145">
        <f t="shared" si="8"/>
        <v>2</v>
      </c>
      <c r="C145" t="s">
        <v>8</v>
      </c>
      <c r="D145">
        <f t="shared" si="9"/>
        <v>1</v>
      </c>
      <c r="E145" t="s">
        <v>23</v>
      </c>
      <c r="F145">
        <f t="shared" si="10"/>
        <v>4</v>
      </c>
      <c r="G145" t="s">
        <v>24</v>
      </c>
      <c r="H145">
        <f t="shared" si="11"/>
        <v>2</v>
      </c>
    </row>
    <row r="146" spans="1:8" x14ac:dyDescent="0.35">
      <c r="A146" t="s">
        <v>7</v>
      </c>
      <c r="B146">
        <f t="shared" si="8"/>
        <v>2</v>
      </c>
      <c r="C146" t="s">
        <v>8</v>
      </c>
      <c r="D146">
        <f t="shared" si="9"/>
        <v>1</v>
      </c>
      <c r="E146" t="s">
        <v>23</v>
      </c>
      <c r="F146">
        <f t="shared" si="10"/>
        <v>4</v>
      </c>
      <c r="G146" t="s">
        <v>24</v>
      </c>
      <c r="H146">
        <f t="shared" si="11"/>
        <v>2</v>
      </c>
    </row>
    <row r="147" spans="1:8" x14ac:dyDescent="0.35">
      <c r="A147" t="s">
        <v>7</v>
      </c>
      <c r="B147">
        <f t="shared" si="8"/>
        <v>2</v>
      </c>
      <c r="C147" t="s">
        <v>8</v>
      </c>
      <c r="D147">
        <f t="shared" si="9"/>
        <v>1</v>
      </c>
      <c r="E147" t="s">
        <v>23</v>
      </c>
      <c r="F147">
        <f t="shared" si="10"/>
        <v>4</v>
      </c>
      <c r="G147" t="s">
        <v>24</v>
      </c>
      <c r="H147">
        <f t="shared" si="11"/>
        <v>2</v>
      </c>
    </row>
    <row r="148" spans="1:8" x14ac:dyDescent="0.35">
      <c r="A148" t="s">
        <v>7</v>
      </c>
      <c r="B148">
        <f t="shared" si="8"/>
        <v>2</v>
      </c>
      <c r="C148" t="s">
        <v>8</v>
      </c>
      <c r="D148">
        <f t="shared" si="9"/>
        <v>1</v>
      </c>
      <c r="E148" t="s">
        <v>23</v>
      </c>
      <c r="F148">
        <f t="shared" si="10"/>
        <v>4</v>
      </c>
      <c r="G148" t="s">
        <v>24</v>
      </c>
      <c r="H148">
        <f t="shared" si="11"/>
        <v>2</v>
      </c>
    </row>
    <row r="149" spans="1:8" x14ac:dyDescent="0.35">
      <c r="A149" t="s">
        <v>7</v>
      </c>
      <c r="B149">
        <f t="shared" si="8"/>
        <v>2</v>
      </c>
      <c r="C149" t="s">
        <v>8</v>
      </c>
      <c r="D149">
        <f t="shared" si="9"/>
        <v>1</v>
      </c>
      <c r="E149" t="s">
        <v>23</v>
      </c>
      <c r="F149">
        <f t="shared" si="10"/>
        <v>4</v>
      </c>
      <c r="G149" t="s">
        <v>24</v>
      </c>
      <c r="H149">
        <f t="shared" si="11"/>
        <v>2</v>
      </c>
    </row>
    <row r="150" spans="1:8" x14ac:dyDescent="0.35">
      <c r="A150" t="s">
        <v>11</v>
      </c>
      <c r="B150">
        <f t="shared" si="8"/>
        <v>1</v>
      </c>
      <c r="C150" t="s">
        <v>8</v>
      </c>
      <c r="D150">
        <f t="shared" si="9"/>
        <v>1</v>
      </c>
      <c r="E150" t="s">
        <v>23</v>
      </c>
      <c r="F150">
        <f t="shared" si="10"/>
        <v>4</v>
      </c>
      <c r="G150" t="s">
        <v>24</v>
      </c>
      <c r="H150">
        <f t="shared" si="11"/>
        <v>2</v>
      </c>
    </row>
    <row r="151" spans="1:8" x14ac:dyDescent="0.35">
      <c r="A151" t="s">
        <v>11</v>
      </c>
      <c r="B151">
        <f t="shared" si="8"/>
        <v>1</v>
      </c>
      <c r="C151" t="s">
        <v>8</v>
      </c>
      <c r="D151">
        <f t="shared" si="9"/>
        <v>1</v>
      </c>
      <c r="E151" t="s">
        <v>23</v>
      </c>
      <c r="F151">
        <f t="shared" si="10"/>
        <v>4</v>
      </c>
      <c r="G151" t="s">
        <v>24</v>
      </c>
      <c r="H151">
        <f t="shared" si="11"/>
        <v>2</v>
      </c>
    </row>
    <row r="152" spans="1:8" x14ac:dyDescent="0.35">
      <c r="A152" t="s">
        <v>11</v>
      </c>
      <c r="B152">
        <f t="shared" si="8"/>
        <v>1</v>
      </c>
      <c r="C152" t="s">
        <v>8</v>
      </c>
      <c r="D152">
        <f t="shared" si="9"/>
        <v>1</v>
      </c>
      <c r="E152" t="s">
        <v>9</v>
      </c>
      <c r="F152">
        <f t="shared" si="10"/>
        <v>1</v>
      </c>
      <c r="G152" t="s">
        <v>10</v>
      </c>
      <c r="H152">
        <f t="shared" si="11"/>
        <v>1</v>
      </c>
    </row>
    <row r="153" spans="1:8" x14ac:dyDescent="0.35">
      <c r="A153" t="s">
        <v>11</v>
      </c>
      <c r="B153">
        <f t="shared" si="8"/>
        <v>1</v>
      </c>
      <c r="C153" t="s">
        <v>8</v>
      </c>
      <c r="D153">
        <f t="shared" si="9"/>
        <v>1</v>
      </c>
      <c r="E153" t="s">
        <v>9</v>
      </c>
      <c r="F153">
        <f t="shared" si="10"/>
        <v>1</v>
      </c>
      <c r="G153" t="s">
        <v>10</v>
      </c>
      <c r="H153">
        <f t="shared" si="11"/>
        <v>1</v>
      </c>
    </row>
    <row r="154" spans="1:8" x14ac:dyDescent="0.35">
      <c r="A154" t="s">
        <v>11</v>
      </c>
      <c r="B154">
        <f t="shared" si="8"/>
        <v>1</v>
      </c>
      <c r="C154" t="s">
        <v>8</v>
      </c>
      <c r="D154">
        <f t="shared" si="9"/>
        <v>1</v>
      </c>
      <c r="E154" t="s">
        <v>9</v>
      </c>
      <c r="F154">
        <f t="shared" si="10"/>
        <v>1</v>
      </c>
      <c r="G154" t="s">
        <v>10</v>
      </c>
      <c r="H154">
        <f t="shared" si="11"/>
        <v>1</v>
      </c>
    </row>
    <row r="155" spans="1:8" x14ac:dyDescent="0.35">
      <c r="A155" t="s">
        <v>11</v>
      </c>
      <c r="B155">
        <f t="shared" si="8"/>
        <v>1</v>
      </c>
      <c r="C155" t="s">
        <v>8</v>
      </c>
      <c r="D155">
        <f t="shared" si="9"/>
        <v>1</v>
      </c>
      <c r="E155" t="s">
        <v>9</v>
      </c>
      <c r="F155">
        <f t="shared" si="10"/>
        <v>1</v>
      </c>
      <c r="G155" t="s">
        <v>10</v>
      </c>
      <c r="H155">
        <f t="shared" si="11"/>
        <v>1</v>
      </c>
    </row>
    <row r="156" spans="1:8" x14ac:dyDescent="0.35">
      <c r="A156" t="s">
        <v>11</v>
      </c>
      <c r="B156">
        <f t="shared" si="8"/>
        <v>1</v>
      </c>
      <c r="C156" t="s">
        <v>8</v>
      </c>
      <c r="D156">
        <f t="shared" si="9"/>
        <v>1</v>
      </c>
      <c r="E156" t="s">
        <v>9</v>
      </c>
      <c r="F156">
        <f t="shared" si="10"/>
        <v>1</v>
      </c>
      <c r="G156" t="s">
        <v>10</v>
      </c>
      <c r="H156">
        <f t="shared" si="11"/>
        <v>1</v>
      </c>
    </row>
    <row r="157" spans="1:8" x14ac:dyDescent="0.35">
      <c r="A157" t="s">
        <v>7</v>
      </c>
      <c r="B157">
        <f t="shared" si="8"/>
        <v>2</v>
      </c>
      <c r="C157" t="s">
        <v>8</v>
      </c>
      <c r="D157">
        <f t="shared" si="9"/>
        <v>1</v>
      </c>
      <c r="E157" t="s">
        <v>9</v>
      </c>
      <c r="F157">
        <f t="shared" si="10"/>
        <v>1</v>
      </c>
      <c r="G157" t="s">
        <v>10</v>
      </c>
      <c r="H157">
        <f t="shared" si="11"/>
        <v>1</v>
      </c>
    </row>
    <row r="158" spans="1:8" x14ac:dyDescent="0.35">
      <c r="A158" t="s">
        <v>11</v>
      </c>
      <c r="B158">
        <f t="shared" si="8"/>
        <v>1</v>
      </c>
      <c r="C158" t="s">
        <v>8</v>
      </c>
      <c r="D158">
        <f t="shared" si="9"/>
        <v>1</v>
      </c>
      <c r="E158" t="s">
        <v>9</v>
      </c>
      <c r="F158">
        <f t="shared" si="10"/>
        <v>1</v>
      </c>
      <c r="G158" t="s">
        <v>10</v>
      </c>
      <c r="H158">
        <f t="shared" si="11"/>
        <v>1</v>
      </c>
    </row>
    <row r="159" spans="1:8" x14ac:dyDescent="0.35">
      <c r="A159" t="s">
        <v>7</v>
      </c>
      <c r="B159">
        <f t="shared" si="8"/>
        <v>2</v>
      </c>
      <c r="C159" t="s">
        <v>8</v>
      </c>
      <c r="D159">
        <f t="shared" si="9"/>
        <v>1</v>
      </c>
      <c r="E159" t="s">
        <v>9</v>
      </c>
      <c r="F159">
        <f t="shared" si="10"/>
        <v>1</v>
      </c>
      <c r="G159" t="s">
        <v>10</v>
      </c>
      <c r="H159">
        <f t="shared" si="11"/>
        <v>1</v>
      </c>
    </row>
    <row r="160" spans="1:8" x14ac:dyDescent="0.35">
      <c r="A160" t="s">
        <v>7</v>
      </c>
      <c r="B160">
        <f t="shared" si="8"/>
        <v>2</v>
      </c>
      <c r="C160" t="s">
        <v>8</v>
      </c>
      <c r="D160">
        <f t="shared" si="9"/>
        <v>1</v>
      </c>
      <c r="E160" t="s">
        <v>9</v>
      </c>
      <c r="F160">
        <f t="shared" si="10"/>
        <v>1</v>
      </c>
      <c r="G160" t="s">
        <v>10</v>
      </c>
      <c r="H160">
        <f t="shared" si="11"/>
        <v>1</v>
      </c>
    </row>
    <row r="161" spans="1:8" x14ac:dyDescent="0.35">
      <c r="A161" t="s">
        <v>11</v>
      </c>
      <c r="B161">
        <f t="shared" si="8"/>
        <v>1</v>
      </c>
      <c r="C161" t="s">
        <v>8</v>
      </c>
      <c r="D161">
        <f t="shared" si="9"/>
        <v>1</v>
      </c>
      <c r="E161" t="s">
        <v>9</v>
      </c>
      <c r="F161">
        <f t="shared" si="10"/>
        <v>1</v>
      </c>
      <c r="G161" t="s">
        <v>10</v>
      </c>
      <c r="H161">
        <f t="shared" si="11"/>
        <v>1</v>
      </c>
    </row>
    <row r="162" spans="1:8" x14ac:dyDescent="0.35">
      <c r="A162" t="s">
        <v>11</v>
      </c>
      <c r="B162">
        <f t="shared" si="8"/>
        <v>1</v>
      </c>
      <c r="C162" t="s">
        <v>8</v>
      </c>
      <c r="D162">
        <f t="shared" si="9"/>
        <v>1</v>
      </c>
      <c r="E162" t="s">
        <v>9</v>
      </c>
      <c r="F162">
        <f t="shared" si="10"/>
        <v>1</v>
      </c>
      <c r="G162" t="s">
        <v>10</v>
      </c>
      <c r="H162">
        <f t="shared" si="11"/>
        <v>1</v>
      </c>
    </row>
    <row r="163" spans="1:8" x14ac:dyDescent="0.35">
      <c r="A163" t="s">
        <v>11</v>
      </c>
      <c r="B163">
        <f t="shared" si="8"/>
        <v>1</v>
      </c>
      <c r="C163" t="s">
        <v>8</v>
      </c>
      <c r="D163">
        <f t="shared" si="9"/>
        <v>1</v>
      </c>
      <c r="E163" t="s">
        <v>9</v>
      </c>
      <c r="F163">
        <f t="shared" si="10"/>
        <v>1</v>
      </c>
      <c r="G163" t="s">
        <v>10</v>
      </c>
      <c r="H163">
        <f t="shared" si="11"/>
        <v>1</v>
      </c>
    </row>
    <row r="164" spans="1:8" x14ac:dyDescent="0.35">
      <c r="A164" t="s">
        <v>7</v>
      </c>
      <c r="B164">
        <f t="shared" si="8"/>
        <v>2</v>
      </c>
      <c r="C164" t="s">
        <v>8</v>
      </c>
      <c r="D164">
        <f t="shared" si="9"/>
        <v>1</v>
      </c>
      <c r="E164" t="s">
        <v>9</v>
      </c>
      <c r="F164">
        <f t="shared" si="10"/>
        <v>1</v>
      </c>
      <c r="G164" t="s">
        <v>10</v>
      </c>
      <c r="H164">
        <f t="shared" si="11"/>
        <v>1</v>
      </c>
    </row>
    <row r="165" spans="1:8" x14ac:dyDescent="0.35">
      <c r="A165" t="s">
        <v>11</v>
      </c>
      <c r="B165">
        <f t="shared" si="8"/>
        <v>1</v>
      </c>
      <c r="C165" t="s">
        <v>8</v>
      </c>
      <c r="D165">
        <f t="shared" si="9"/>
        <v>1</v>
      </c>
      <c r="E165" t="s">
        <v>9</v>
      </c>
      <c r="F165">
        <f t="shared" si="10"/>
        <v>1</v>
      </c>
      <c r="G165" t="s">
        <v>10</v>
      </c>
      <c r="H165">
        <f t="shared" si="11"/>
        <v>1</v>
      </c>
    </row>
    <row r="166" spans="1:8" x14ac:dyDescent="0.35">
      <c r="A166" t="s">
        <v>7</v>
      </c>
      <c r="B166">
        <f t="shared" si="8"/>
        <v>2</v>
      </c>
      <c r="C166" t="s">
        <v>22</v>
      </c>
      <c r="D166">
        <f t="shared" si="9"/>
        <v>2</v>
      </c>
      <c r="E166" t="s">
        <v>9</v>
      </c>
      <c r="F166">
        <f t="shared" si="10"/>
        <v>1</v>
      </c>
      <c r="G166" t="s">
        <v>10</v>
      </c>
      <c r="H166">
        <f t="shared" si="11"/>
        <v>1</v>
      </c>
    </row>
    <row r="167" spans="1:8" x14ac:dyDescent="0.35">
      <c r="A167" t="s">
        <v>11</v>
      </c>
      <c r="B167">
        <f t="shared" si="8"/>
        <v>1</v>
      </c>
      <c r="C167" t="s">
        <v>8</v>
      </c>
      <c r="D167">
        <f t="shared" si="9"/>
        <v>1</v>
      </c>
      <c r="E167" t="s">
        <v>9</v>
      </c>
      <c r="F167">
        <f t="shared" si="10"/>
        <v>1</v>
      </c>
      <c r="G167" t="s">
        <v>10</v>
      </c>
      <c r="H167">
        <f t="shared" si="11"/>
        <v>1</v>
      </c>
    </row>
    <row r="168" spans="1:8" x14ac:dyDescent="0.35">
      <c r="A168" t="s">
        <v>11</v>
      </c>
      <c r="B168">
        <f t="shared" si="8"/>
        <v>1</v>
      </c>
      <c r="C168" t="s">
        <v>8</v>
      </c>
      <c r="D168">
        <f t="shared" si="9"/>
        <v>1</v>
      </c>
      <c r="E168" t="s">
        <v>9</v>
      </c>
      <c r="F168">
        <f t="shared" si="10"/>
        <v>1</v>
      </c>
      <c r="G168" t="s">
        <v>10</v>
      </c>
      <c r="H168">
        <f t="shared" si="11"/>
        <v>1</v>
      </c>
    </row>
    <row r="169" spans="1:8" x14ac:dyDescent="0.35">
      <c r="A169" t="s">
        <v>11</v>
      </c>
      <c r="B169">
        <f t="shared" si="8"/>
        <v>1</v>
      </c>
      <c r="C169" t="s">
        <v>8</v>
      </c>
      <c r="D169">
        <f t="shared" si="9"/>
        <v>1</v>
      </c>
      <c r="E169" t="s">
        <v>9</v>
      </c>
      <c r="F169">
        <f t="shared" si="10"/>
        <v>1</v>
      </c>
      <c r="G169" t="s">
        <v>10</v>
      </c>
      <c r="H169">
        <f t="shared" si="11"/>
        <v>1</v>
      </c>
    </row>
    <row r="170" spans="1:8" x14ac:dyDescent="0.35">
      <c r="A170" t="s">
        <v>7</v>
      </c>
      <c r="B170">
        <f t="shared" si="8"/>
        <v>2</v>
      </c>
      <c r="C170" t="s">
        <v>22</v>
      </c>
      <c r="D170">
        <f t="shared" si="9"/>
        <v>2</v>
      </c>
      <c r="E170" t="s">
        <v>21</v>
      </c>
      <c r="F170">
        <f t="shared" si="10"/>
        <v>3</v>
      </c>
      <c r="G170" t="s">
        <v>10</v>
      </c>
      <c r="H170">
        <f t="shared" si="11"/>
        <v>1</v>
      </c>
    </row>
    <row r="171" spans="1:8" x14ac:dyDescent="0.35">
      <c r="A171" t="s">
        <v>7</v>
      </c>
      <c r="B171">
        <f t="shared" si="8"/>
        <v>2</v>
      </c>
      <c r="C171" t="s">
        <v>22</v>
      </c>
      <c r="D171">
        <f t="shared" si="9"/>
        <v>2</v>
      </c>
      <c r="E171" t="s">
        <v>21</v>
      </c>
      <c r="F171">
        <f t="shared" si="10"/>
        <v>3</v>
      </c>
      <c r="G171" t="s">
        <v>10</v>
      </c>
      <c r="H171">
        <f t="shared" si="11"/>
        <v>1</v>
      </c>
    </row>
    <row r="172" spans="1:8" x14ac:dyDescent="0.35">
      <c r="A172" t="s">
        <v>11</v>
      </c>
      <c r="B172">
        <f t="shared" si="8"/>
        <v>1</v>
      </c>
      <c r="C172" t="s">
        <v>22</v>
      </c>
      <c r="D172">
        <f t="shared" si="9"/>
        <v>2</v>
      </c>
      <c r="E172" t="s">
        <v>21</v>
      </c>
      <c r="F172">
        <f t="shared" si="10"/>
        <v>3</v>
      </c>
      <c r="G172" t="s">
        <v>10</v>
      </c>
      <c r="H172">
        <f t="shared" si="11"/>
        <v>1</v>
      </c>
    </row>
    <row r="173" spans="1:8" x14ac:dyDescent="0.35">
      <c r="A173" t="s">
        <v>11</v>
      </c>
      <c r="B173">
        <f t="shared" si="8"/>
        <v>1</v>
      </c>
      <c r="C173" t="s">
        <v>22</v>
      </c>
      <c r="D173">
        <f t="shared" si="9"/>
        <v>2</v>
      </c>
      <c r="E173" t="s">
        <v>21</v>
      </c>
      <c r="F173">
        <f t="shared" si="10"/>
        <v>3</v>
      </c>
      <c r="G173" t="s">
        <v>10</v>
      </c>
      <c r="H173">
        <f t="shared" si="11"/>
        <v>1</v>
      </c>
    </row>
    <row r="174" spans="1:8" x14ac:dyDescent="0.35">
      <c r="A174" t="s">
        <v>11</v>
      </c>
      <c r="B174">
        <f t="shared" si="8"/>
        <v>1</v>
      </c>
      <c r="C174" t="s">
        <v>22</v>
      </c>
      <c r="D174">
        <f t="shared" si="9"/>
        <v>2</v>
      </c>
      <c r="E174" t="s">
        <v>9</v>
      </c>
      <c r="F174">
        <f t="shared" si="10"/>
        <v>1</v>
      </c>
      <c r="G174" t="s">
        <v>10</v>
      </c>
      <c r="H174">
        <f t="shared" si="11"/>
        <v>1</v>
      </c>
    </row>
    <row r="175" spans="1:8" x14ac:dyDescent="0.35">
      <c r="A175" t="s">
        <v>11</v>
      </c>
      <c r="B175">
        <f t="shared" si="8"/>
        <v>1</v>
      </c>
      <c r="C175" t="s">
        <v>22</v>
      </c>
      <c r="D175">
        <f t="shared" si="9"/>
        <v>2</v>
      </c>
      <c r="E175" t="s">
        <v>9</v>
      </c>
      <c r="F175">
        <f t="shared" si="10"/>
        <v>1</v>
      </c>
      <c r="G175" t="s">
        <v>10</v>
      </c>
      <c r="H175">
        <f t="shared" si="11"/>
        <v>1</v>
      </c>
    </row>
    <row r="176" spans="1:8" x14ac:dyDescent="0.35">
      <c r="A176" t="s">
        <v>11</v>
      </c>
      <c r="B176">
        <f t="shared" si="8"/>
        <v>1</v>
      </c>
      <c r="C176" t="s">
        <v>22</v>
      </c>
      <c r="D176">
        <f t="shared" si="9"/>
        <v>2</v>
      </c>
      <c r="E176" t="s">
        <v>9</v>
      </c>
      <c r="F176">
        <f t="shared" si="10"/>
        <v>1</v>
      </c>
      <c r="G176" t="s">
        <v>10</v>
      </c>
      <c r="H176">
        <f t="shared" si="11"/>
        <v>1</v>
      </c>
    </row>
    <row r="177" spans="1:8" x14ac:dyDescent="0.35">
      <c r="A177" t="s">
        <v>11</v>
      </c>
      <c r="B177">
        <f t="shared" si="8"/>
        <v>1</v>
      </c>
      <c r="C177" t="s">
        <v>22</v>
      </c>
      <c r="D177">
        <f t="shared" si="9"/>
        <v>2</v>
      </c>
      <c r="E177" t="s">
        <v>9</v>
      </c>
      <c r="F177">
        <f t="shared" si="10"/>
        <v>1</v>
      </c>
      <c r="G177" t="s">
        <v>10</v>
      </c>
      <c r="H177">
        <f t="shared" si="11"/>
        <v>1</v>
      </c>
    </row>
    <row r="178" spans="1:8" x14ac:dyDescent="0.35">
      <c r="A178" t="s">
        <v>11</v>
      </c>
      <c r="B178">
        <f t="shared" si="8"/>
        <v>1</v>
      </c>
      <c r="C178" t="s">
        <v>22</v>
      </c>
      <c r="D178">
        <f t="shared" si="9"/>
        <v>2</v>
      </c>
      <c r="E178" t="s">
        <v>9</v>
      </c>
      <c r="F178">
        <f t="shared" si="10"/>
        <v>1</v>
      </c>
      <c r="G178" t="s">
        <v>10</v>
      </c>
      <c r="H178">
        <f t="shared" si="11"/>
        <v>1</v>
      </c>
    </row>
    <row r="179" spans="1:8" x14ac:dyDescent="0.35">
      <c r="A179" t="s">
        <v>11</v>
      </c>
      <c r="B179">
        <f t="shared" si="8"/>
        <v>1</v>
      </c>
      <c r="C179" t="s">
        <v>22</v>
      </c>
      <c r="D179">
        <f t="shared" si="9"/>
        <v>2</v>
      </c>
      <c r="E179" t="s">
        <v>9</v>
      </c>
      <c r="F179">
        <f t="shared" si="10"/>
        <v>1</v>
      </c>
      <c r="G179" t="s">
        <v>10</v>
      </c>
      <c r="H179">
        <f t="shared" si="11"/>
        <v>1</v>
      </c>
    </row>
    <row r="180" spans="1:8" x14ac:dyDescent="0.35">
      <c r="A180" t="s">
        <v>7</v>
      </c>
      <c r="B180">
        <f t="shared" si="8"/>
        <v>2</v>
      </c>
      <c r="C180" t="s">
        <v>22</v>
      </c>
      <c r="D180">
        <f t="shared" si="9"/>
        <v>2</v>
      </c>
      <c r="E180" t="s">
        <v>9</v>
      </c>
      <c r="F180">
        <f t="shared" si="10"/>
        <v>1</v>
      </c>
      <c r="G180" t="s">
        <v>10</v>
      </c>
      <c r="H180">
        <f t="shared" si="11"/>
        <v>1</v>
      </c>
    </row>
    <row r="181" spans="1:8" x14ac:dyDescent="0.35">
      <c r="A181" t="s">
        <v>11</v>
      </c>
      <c r="B181">
        <f t="shared" si="8"/>
        <v>1</v>
      </c>
      <c r="C181" t="s">
        <v>22</v>
      </c>
      <c r="D181">
        <f t="shared" si="9"/>
        <v>2</v>
      </c>
      <c r="E181" t="s">
        <v>9</v>
      </c>
      <c r="F181">
        <f t="shared" si="10"/>
        <v>1</v>
      </c>
      <c r="G181" t="s">
        <v>10</v>
      </c>
      <c r="H181">
        <f t="shared" si="11"/>
        <v>1</v>
      </c>
    </row>
    <row r="182" spans="1:8" x14ac:dyDescent="0.35">
      <c r="A182" t="s">
        <v>11</v>
      </c>
      <c r="B182">
        <f t="shared" si="8"/>
        <v>1</v>
      </c>
      <c r="C182" t="s">
        <v>22</v>
      </c>
      <c r="D182">
        <f t="shared" si="9"/>
        <v>2</v>
      </c>
      <c r="E182" t="s">
        <v>9</v>
      </c>
      <c r="F182">
        <f t="shared" si="10"/>
        <v>1</v>
      </c>
      <c r="G182" t="s">
        <v>10</v>
      </c>
      <c r="H182">
        <f t="shared" si="11"/>
        <v>1</v>
      </c>
    </row>
    <row r="183" spans="1:8" x14ac:dyDescent="0.35">
      <c r="A183" t="s">
        <v>11</v>
      </c>
      <c r="B183">
        <f t="shared" si="8"/>
        <v>1</v>
      </c>
      <c r="C183" t="s">
        <v>22</v>
      </c>
      <c r="D183">
        <f t="shared" si="9"/>
        <v>2</v>
      </c>
      <c r="E183" t="s">
        <v>9</v>
      </c>
      <c r="F183">
        <f t="shared" si="10"/>
        <v>1</v>
      </c>
      <c r="G183" t="s">
        <v>10</v>
      </c>
      <c r="H183">
        <f t="shared" si="11"/>
        <v>1</v>
      </c>
    </row>
    <row r="184" spans="1:8" x14ac:dyDescent="0.35">
      <c r="A184" t="s">
        <v>11</v>
      </c>
      <c r="B184">
        <f t="shared" si="8"/>
        <v>1</v>
      </c>
      <c r="C184" t="s">
        <v>22</v>
      </c>
      <c r="D184">
        <f t="shared" si="9"/>
        <v>2</v>
      </c>
      <c r="E184" t="s">
        <v>9</v>
      </c>
      <c r="F184">
        <f t="shared" si="10"/>
        <v>1</v>
      </c>
      <c r="G184" t="s">
        <v>10</v>
      </c>
      <c r="H184">
        <f t="shared" si="11"/>
        <v>1</v>
      </c>
    </row>
    <row r="185" spans="1:8" x14ac:dyDescent="0.35">
      <c r="A185" t="s">
        <v>11</v>
      </c>
      <c r="B185">
        <f t="shared" si="8"/>
        <v>1</v>
      </c>
      <c r="C185" t="s">
        <v>22</v>
      </c>
      <c r="D185">
        <f t="shared" si="9"/>
        <v>2</v>
      </c>
      <c r="E185" t="s">
        <v>9</v>
      </c>
      <c r="F185">
        <f t="shared" si="10"/>
        <v>1</v>
      </c>
      <c r="G185" t="s">
        <v>10</v>
      </c>
      <c r="H185">
        <f t="shared" si="11"/>
        <v>1</v>
      </c>
    </row>
    <row r="186" spans="1:8" x14ac:dyDescent="0.35">
      <c r="A186" t="s">
        <v>11</v>
      </c>
      <c r="B186">
        <f t="shared" si="8"/>
        <v>1</v>
      </c>
      <c r="C186" t="s">
        <v>22</v>
      </c>
      <c r="D186">
        <f t="shared" si="9"/>
        <v>2</v>
      </c>
      <c r="E186" t="s">
        <v>9</v>
      </c>
      <c r="F186">
        <f t="shared" si="10"/>
        <v>1</v>
      </c>
      <c r="G186" t="s">
        <v>10</v>
      </c>
      <c r="H186">
        <f t="shared" si="11"/>
        <v>1</v>
      </c>
    </row>
    <row r="187" spans="1:8" x14ac:dyDescent="0.35">
      <c r="A187" t="s">
        <v>11</v>
      </c>
      <c r="B187">
        <f t="shared" si="8"/>
        <v>1</v>
      </c>
      <c r="C187" t="s">
        <v>8</v>
      </c>
      <c r="D187">
        <f t="shared" si="9"/>
        <v>1</v>
      </c>
      <c r="E187" t="s">
        <v>9</v>
      </c>
      <c r="F187">
        <f t="shared" si="10"/>
        <v>1</v>
      </c>
      <c r="G187" t="s">
        <v>10</v>
      </c>
      <c r="H187">
        <f t="shared" si="11"/>
        <v>1</v>
      </c>
    </row>
    <row r="188" spans="1:8" x14ac:dyDescent="0.35">
      <c r="A188" t="s">
        <v>7</v>
      </c>
      <c r="B188">
        <f t="shared" si="8"/>
        <v>2</v>
      </c>
      <c r="C188" t="s">
        <v>22</v>
      </c>
      <c r="D188">
        <f t="shared" si="9"/>
        <v>2</v>
      </c>
      <c r="E188" t="s">
        <v>9</v>
      </c>
      <c r="F188">
        <f t="shared" si="10"/>
        <v>1</v>
      </c>
      <c r="G188" t="s">
        <v>10</v>
      </c>
      <c r="H188">
        <f t="shared" si="11"/>
        <v>1</v>
      </c>
    </row>
    <row r="189" spans="1:8" x14ac:dyDescent="0.35">
      <c r="A189" t="s">
        <v>11</v>
      </c>
      <c r="B189">
        <f t="shared" si="8"/>
        <v>1</v>
      </c>
      <c r="C189" t="s">
        <v>22</v>
      </c>
      <c r="D189">
        <f t="shared" si="9"/>
        <v>2</v>
      </c>
      <c r="E189" t="s">
        <v>9</v>
      </c>
      <c r="F189">
        <f t="shared" si="10"/>
        <v>1</v>
      </c>
      <c r="G189" t="s">
        <v>10</v>
      </c>
      <c r="H189">
        <f t="shared" si="11"/>
        <v>1</v>
      </c>
    </row>
    <row r="190" spans="1:8" x14ac:dyDescent="0.35">
      <c r="A190" t="s">
        <v>7</v>
      </c>
      <c r="B190">
        <f t="shared" si="8"/>
        <v>2</v>
      </c>
      <c r="C190" t="s">
        <v>22</v>
      </c>
      <c r="D190">
        <f t="shared" si="9"/>
        <v>2</v>
      </c>
      <c r="E190" t="s">
        <v>9</v>
      </c>
      <c r="F190">
        <f t="shared" si="10"/>
        <v>1</v>
      </c>
      <c r="G190" t="s">
        <v>10</v>
      </c>
      <c r="H190">
        <f t="shared" si="11"/>
        <v>1</v>
      </c>
    </row>
    <row r="191" spans="1:8" x14ac:dyDescent="0.35">
      <c r="A191" t="s">
        <v>11</v>
      </c>
      <c r="B191">
        <f t="shared" si="8"/>
        <v>1</v>
      </c>
      <c r="C191" t="s">
        <v>22</v>
      </c>
      <c r="D191">
        <f t="shared" si="9"/>
        <v>2</v>
      </c>
      <c r="E191" t="s">
        <v>9</v>
      </c>
      <c r="F191">
        <f t="shared" si="10"/>
        <v>1</v>
      </c>
      <c r="G191" t="s">
        <v>10</v>
      </c>
      <c r="H191">
        <f t="shared" si="11"/>
        <v>1</v>
      </c>
    </row>
    <row r="192" spans="1:8" x14ac:dyDescent="0.35">
      <c r="A192" t="s">
        <v>11</v>
      </c>
      <c r="B192">
        <f t="shared" si="8"/>
        <v>1</v>
      </c>
      <c r="C192" t="s">
        <v>22</v>
      </c>
      <c r="D192">
        <f t="shared" si="9"/>
        <v>2</v>
      </c>
      <c r="E192" t="s">
        <v>9</v>
      </c>
      <c r="F192">
        <f t="shared" si="10"/>
        <v>1</v>
      </c>
      <c r="G192" t="s">
        <v>10</v>
      </c>
      <c r="H192">
        <f t="shared" si="11"/>
        <v>1</v>
      </c>
    </row>
    <row r="193" spans="1:8" x14ac:dyDescent="0.35">
      <c r="A193" t="s">
        <v>7</v>
      </c>
      <c r="B193">
        <f t="shared" si="8"/>
        <v>2</v>
      </c>
      <c r="C193" t="s">
        <v>22</v>
      </c>
      <c r="D193">
        <f t="shared" si="9"/>
        <v>2</v>
      </c>
      <c r="E193" t="s">
        <v>23</v>
      </c>
      <c r="F193">
        <f t="shared" si="10"/>
        <v>4</v>
      </c>
      <c r="G193" t="s">
        <v>24</v>
      </c>
      <c r="H193">
        <f t="shared" si="11"/>
        <v>2</v>
      </c>
    </row>
    <row r="194" spans="1:8" x14ac:dyDescent="0.35">
      <c r="A194" t="s">
        <v>11</v>
      </c>
      <c r="B194">
        <f t="shared" si="8"/>
        <v>1</v>
      </c>
      <c r="C194" t="s">
        <v>22</v>
      </c>
      <c r="D194">
        <f t="shared" si="9"/>
        <v>2</v>
      </c>
      <c r="E194" t="s">
        <v>23</v>
      </c>
      <c r="F194">
        <f t="shared" si="10"/>
        <v>4</v>
      </c>
      <c r="G194" t="s">
        <v>24</v>
      </c>
      <c r="H194">
        <f t="shared" si="11"/>
        <v>2</v>
      </c>
    </row>
    <row r="195" spans="1:8" x14ac:dyDescent="0.35">
      <c r="A195" t="s">
        <v>11</v>
      </c>
      <c r="B195">
        <f t="shared" ref="B195:B244" si="12">IF($A195="Male",1,2)</f>
        <v>1</v>
      </c>
      <c r="C195" t="s">
        <v>22</v>
      </c>
      <c r="D195">
        <f t="shared" ref="D195:D244" si="13">IF($C195="No",1,2)</f>
        <v>2</v>
      </c>
      <c r="E195" t="s">
        <v>23</v>
      </c>
      <c r="F195">
        <f t="shared" ref="F195:F244" si="14">IF($E195="Sun",1,IF($E195="Fri",2,IF($E195="Sat",3,IF($E195="Thur",4))))</f>
        <v>4</v>
      </c>
      <c r="G195" t="s">
        <v>24</v>
      </c>
      <c r="H195">
        <f t="shared" ref="H195:H244" si="15">IF($G195="Dinner",1,2)</f>
        <v>2</v>
      </c>
    </row>
    <row r="196" spans="1:8" x14ac:dyDescent="0.35">
      <c r="A196" t="s">
        <v>11</v>
      </c>
      <c r="B196">
        <f t="shared" si="12"/>
        <v>1</v>
      </c>
      <c r="C196" t="s">
        <v>22</v>
      </c>
      <c r="D196">
        <f t="shared" si="13"/>
        <v>2</v>
      </c>
      <c r="E196" t="s">
        <v>23</v>
      </c>
      <c r="F196">
        <f t="shared" si="14"/>
        <v>4</v>
      </c>
      <c r="G196" t="s">
        <v>24</v>
      </c>
      <c r="H196">
        <f t="shared" si="15"/>
        <v>2</v>
      </c>
    </row>
    <row r="197" spans="1:8" x14ac:dyDescent="0.35">
      <c r="A197" t="s">
        <v>11</v>
      </c>
      <c r="B197">
        <f t="shared" si="12"/>
        <v>1</v>
      </c>
      <c r="C197" t="s">
        <v>8</v>
      </c>
      <c r="D197">
        <f t="shared" si="13"/>
        <v>1</v>
      </c>
      <c r="E197" t="s">
        <v>23</v>
      </c>
      <c r="F197">
        <f t="shared" si="14"/>
        <v>4</v>
      </c>
      <c r="G197" t="s">
        <v>24</v>
      </c>
      <c r="H197">
        <f t="shared" si="15"/>
        <v>2</v>
      </c>
    </row>
    <row r="198" spans="1:8" x14ac:dyDescent="0.35">
      <c r="A198" t="s">
        <v>11</v>
      </c>
      <c r="B198">
        <f t="shared" si="12"/>
        <v>1</v>
      </c>
      <c r="C198" t="s">
        <v>22</v>
      </c>
      <c r="D198">
        <f t="shared" si="13"/>
        <v>2</v>
      </c>
      <c r="E198" t="s">
        <v>23</v>
      </c>
      <c r="F198">
        <f t="shared" si="14"/>
        <v>4</v>
      </c>
      <c r="G198" t="s">
        <v>24</v>
      </c>
      <c r="H198">
        <f t="shared" si="15"/>
        <v>2</v>
      </c>
    </row>
    <row r="199" spans="1:8" x14ac:dyDescent="0.35">
      <c r="A199" t="s">
        <v>7</v>
      </c>
      <c r="B199">
        <f t="shared" si="12"/>
        <v>2</v>
      </c>
      <c r="C199" t="s">
        <v>22</v>
      </c>
      <c r="D199">
        <f t="shared" si="13"/>
        <v>2</v>
      </c>
      <c r="E199" t="s">
        <v>23</v>
      </c>
      <c r="F199">
        <f t="shared" si="14"/>
        <v>4</v>
      </c>
      <c r="G199" t="s">
        <v>24</v>
      </c>
      <c r="H199">
        <f t="shared" si="15"/>
        <v>2</v>
      </c>
    </row>
    <row r="200" spans="1:8" x14ac:dyDescent="0.35">
      <c r="A200" t="s">
        <v>7</v>
      </c>
      <c r="B200">
        <f t="shared" si="12"/>
        <v>2</v>
      </c>
      <c r="C200" t="s">
        <v>22</v>
      </c>
      <c r="D200">
        <f t="shared" si="13"/>
        <v>2</v>
      </c>
      <c r="E200" t="s">
        <v>23</v>
      </c>
      <c r="F200">
        <f t="shared" si="14"/>
        <v>4</v>
      </c>
      <c r="G200" t="s">
        <v>24</v>
      </c>
      <c r="H200">
        <f t="shared" si="15"/>
        <v>2</v>
      </c>
    </row>
    <row r="201" spans="1:8" x14ac:dyDescent="0.35">
      <c r="A201" t="s">
        <v>11</v>
      </c>
      <c r="B201">
        <f t="shared" si="12"/>
        <v>1</v>
      </c>
      <c r="C201" t="s">
        <v>22</v>
      </c>
      <c r="D201">
        <f t="shared" si="13"/>
        <v>2</v>
      </c>
      <c r="E201" t="s">
        <v>23</v>
      </c>
      <c r="F201">
        <f t="shared" si="14"/>
        <v>4</v>
      </c>
      <c r="G201" t="s">
        <v>24</v>
      </c>
      <c r="H201">
        <f t="shared" si="15"/>
        <v>2</v>
      </c>
    </row>
    <row r="202" spans="1:8" x14ac:dyDescent="0.35">
      <c r="A202" t="s">
        <v>11</v>
      </c>
      <c r="B202">
        <f t="shared" si="12"/>
        <v>1</v>
      </c>
      <c r="C202" t="s">
        <v>22</v>
      </c>
      <c r="D202">
        <f t="shared" si="13"/>
        <v>2</v>
      </c>
      <c r="E202" t="s">
        <v>23</v>
      </c>
      <c r="F202">
        <f t="shared" si="14"/>
        <v>4</v>
      </c>
      <c r="G202" t="s">
        <v>24</v>
      </c>
      <c r="H202">
        <f t="shared" si="15"/>
        <v>2</v>
      </c>
    </row>
    <row r="203" spans="1:8" x14ac:dyDescent="0.35">
      <c r="A203" t="s">
        <v>7</v>
      </c>
      <c r="B203">
        <f t="shared" si="12"/>
        <v>2</v>
      </c>
      <c r="C203" t="s">
        <v>22</v>
      </c>
      <c r="D203">
        <f t="shared" si="13"/>
        <v>2</v>
      </c>
      <c r="E203" t="s">
        <v>23</v>
      </c>
      <c r="F203">
        <f t="shared" si="14"/>
        <v>4</v>
      </c>
      <c r="G203" t="s">
        <v>24</v>
      </c>
      <c r="H203">
        <f t="shared" si="15"/>
        <v>2</v>
      </c>
    </row>
    <row r="204" spans="1:8" x14ac:dyDescent="0.35">
      <c r="A204" t="s">
        <v>7</v>
      </c>
      <c r="B204">
        <f t="shared" si="12"/>
        <v>2</v>
      </c>
      <c r="C204" t="s">
        <v>22</v>
      </c>
      <c r="D204">
        <f t="shared" si="13"/>
        <v>2</v>
      </c>
      <c r="E204" t="s">
        <v>23</v>
      </c>
      <c r="F204">
        <f t="shared" si="14"/>
        <v>4</v>
      </c>
      <c r="G204" t="s">
        <v>24</v>
      </c>
      <c r="H204">
        <f t="shared" si="15"/>
        <v>2</v>
      </c>
    </row>
    <row r="205" spans="1:8" x14ac:dyDescent="0.35">
      <c r="A205" t="s">
        <v>11</v>
      </c>
      <c r="B205">
        <f t="shared" si="12"/>
        <v>1</v>
      </c>
      <c r="C205" t="s">
        <v>22</v>
      </c>
      <c r="D205">
        <f t="shared" si="13"/>
        <v>2</v>
      </c>
      <c r="E205" t="s">
        <v>23</v>
      </c>
      <c r="F205">
        <f t="shared" si="14"/>
        <v>4</v>
      </c>
      <c r="G205" t="s">
        <v>24</v>
      </c>
      <c r="H205">
        <f t="shared" si="15"/>
        <v>2</v>
      </c>
    </row>
    <row r="206" spans="1:8" x14ac:dyDescent="0.35">
      <c r="A206" t="s">
        <v>7</v>
      </c>
      <c r="B206">
        <f t="shared" si="12"/>
        <v>2</v>
      </c>
      <c r="C206" t="s">
        <v>22</v>
      </c>
      <c r="D206">
        <f t="shared" si="13"/>
        <v>2</v>
      </c>
      <c r="E206" t="s">
        <v>23</v>
      </c>
      <c r="F206">
        <f t="shared" si="14"/>
        <v>4</v>
      </c>
      <c r="G206" t="s">
        <v>24</v>
      </c>
      <c r="H206">
        <f t="shared" si="15"/>
        <v>2</v>
      </c>
    </row>
    <row r="207" spans="1:8" x14ac:dyDescent="0.35">
      <c r="A207" t="s">
        <v>11</v>
      </c>
      <c r="B207">
        <f t="shared" si="12"/>
        <v>1</v>
      </c>
      <c r="C207" t="s">
        <v>22</v>
      </c>
      <c r="D207">
        <f t="shared" si="13"/>
        <v>2</v>
      </c>
      <c r="E207" t="s">
        <v>21</v>
      </c>
      <c r="F207">
        <f t="shared" si="14"/>
        <v>3</v>
      </c>
      <c r="G207" t="s">
        <v>10</v>
      </c>
      <c r="H207">
        <f t="shared" si="15"/>
        <v>1</v>
      </c>
    </row>
    <row r="208" spans="1:8" x14ac:dyDescent="0.35">
      <c r="A208" t="s">
        <v>11</v>
      </c>
      <c r="B208">
        <f t="shared" si="12"/>
        <v>1</v>
      </c>
      <c r="C208" t="s">
        <v>22</v>
      </c>
      <c r="D208">
        <f t="shared" si="13"/>
        <v>2</v>
      </c>
      <c r="E208" t="s">
        <v>21</v>
      </c>
      <c r="F208">
        <f t="shared" si="14"/>
        <v>3</v>
      </c>
      <c r="G208" t="s">
        <v>10</v>
      </c>
      <c r="H208">
        <f t="shared" si="15"/>
        <v>1</v>
      </c>
    </row>
    <row r="209" spans="1:8" x14ac:dyDescent="0.35">
      <c r="A209" t="s">
        <v>11</v>
      </c>
      <c r="B209">
        <f t="shared" si="12"/>
        <v>1</v>
      </c>
      <c r="C209" t="s">
        <v>22</v>
      </c>
      <c r="D209">
        <f t="shared" si="13"/>
        <v>2</v>
      </c>
      <c r="E209" t="s">
        <v>21</v>
      </c>
      <c r="F209">
        <f t="shared" si="14"/>
        <v>3</v>
      </c>
      <c r="G209" t="s">
        <v>10</v>
      </c>
      <c r="H209">
        <f t="shared" si="15"/>
        <v>1</v>
      </c>
    </row>
    <row r="210" spans="1:8" x14ac:dyDescent="0.35">
      <c r="A210" t="s">
        <v>7</v>
      </c>
      <c r="B210">
        <f t="shared" si="12"/>
        <v>2</v>
      </c>
      <c r="C210" t="s">
        <v>22</v>
      </c>
      <c r="D210">
        <f t="shared" si="13"/>
        <v>2</v>
      </c>
      <c r="E210" t="s">
        <v>21</v>
      </c>
      <c r="F210">
        <f t="shared" si="14"/>
        <v>3</v>
      </c>
      <c r="G210" t="s">
        <v>10</v>
      </c>
      <c r="H210">
        <f t="shared" si="15"/>
        <v>1</v>
      </c>
    </row>
    <row r="211" spans="1:8" x14ac:dyDescent="0.35">
      <c r="A211" t="s">
        <v>11</v>
      </c>
      <c r="B211">
        <f t="shared" si="12"/>
        <v>1</v>
      </c>
      <c r="C211" t="s">
        <v>22</v>
      </c>
      <c r="D211">
        <f t="shared" si="13"/>
        <v>2</v>
      </c>
      <c r="E211" t="s">
        <v>21</v>
      </c>
      <c r="F211">
        <f t="shared" si="14"/>
        <v>3</v>
      </c>
      <c r="G211" t="s">
        <v>10</v>
      </c>
      <c r="H211">
        <f t="shared" si="15"/>
        <v>1</v>
      </c>
    </row>
    <row r="212" spans="1:8" x14ac:dyDescent="0.35">
      <c r="A212" t="s">
        <v>11</v>
      </c>
      <c r="B212">
        <f t="shared" si="12"/>
        <v>1</v>
      </c>
      <c r="C212" t="s">
        <v>22</v>
      </c>
      <c r="D212">
        <f t="shared" si="13"/>
        <v>2</v>
      </c>
      <c r="E212" t="s">
        <v>21</v>
      </c>
      <c r="F212">
        <f t="shared" si="14"/>
        <v>3</v>
      </c>
      <c r="G212" t="s">
        <v>10</v>
      </c>
      <c r="H212">
        <f t="shared" si="15"/>
        <v>1</v>
      </c>
    </row>
    <row r="213" spans="1:8" x14ac:dyDescent="0.35">
      <c r="A213" t="s">
        <v>11</v>
      </c>
      <c r="B213">
        <f t="shared" si="12"/>
        <v>1</v>
      </c>
      <c r="C213" t="s">
        <v>8</v>
      </c>
      <c r="D213">
        <f t="shared" si="13"/>
        <v>1</v>
      </c>
      <c r="E213" t="s">
        <v>21</v>
      </c>
      <c r="F213">
        <f t="shared" si="14"/>
        <v>3</v>
      </c>
      <c r="G213" t="s">
        <v>10</v>
      </c>
      <c r="H213">
        <f t="shared" si="15"/>
        <v>1</v>
      </c>
    </row>
    <row r="214" spans="1:8" x14ac:dyDescent="0.35">
      <c r="A214" t="s">
        <v>7</v>
      </c>
      <c r="B214">
        <f t="shared" si="12"/>
        <v>2</v>
      </c>
      <c r="C214" t="s">
        <v>22</v>
      </c>
      <c r="D214">
        <f t="shared" si="13"/>
        <v>2</v>
      </c>
      <c r="E214" t="s">
        <v>21</v>
      </c>
      <c r="F214">
        <f t="shared" si="14"/>
        <v>3</v>
      </c>
      <c r="G214" t="s">
        <v>10</v>
      </c>
      <c r="H214">
        <f t="shared" si="15"/>
        <v>1</v>
      </c>
    </row>
    <row r="215" spans="1:8" x14ac:dyDescent="0.35">
      <c r="A215" t="s">
        <v>7</v>
      </c>
      <c r="B215">
        <f t="shared" si="12"/>
        <v>2</v>
      </c>
      <c r="C215" t="s">
        <v>22</v>
      </c>
      <c r="D215">
        <f t="shared" si="13"/>
        <v>2</v>
      </c>
      <c r="E215" t="s">
        <v>21</v>
      </c>
      <c r="F215">
        <f t="shared" si="14"/>
        <v>3</v>
      </c>
      <c r="G215" t="s">
        <v>10</v>
      </c>
      <c r="H215">
        <f t="shared" si="15"/>
        <v>1</v>
      </c>
    </row>
    <row r="216" spans="1:8" x14ac:dyDescent="0.35">
      <c r="A216" t="s">
        <v>7</v>
      </c>
      <c r="B216">
        <f t="shared" si="12"/>
        <v>2</v>
      </c>
      <c r="C216" t="s">
        <v>22</v>
      </c>
      <c r="D216">
        <f t="shared" si="13"/>
        <v>2</v>
      </c>
      <c r="E216" t="s">
        <v>21</v>
      </c>
      <c r="F216">
        <f t="shared" si="14"/>
        <v>3</v>
      </c>
      <c r="G216" t="s">
        <v>10</v>
      </c>
      <c r="H216">
        <f t="shared" si="15"/>
        <v>1</v>
      </c>
    </row>
    <row r="217" spans="1:8" x14ac:dyDescent="0.35">
      <c r="A217" t="s">
        <v>11</v>
      </c>
      <c r="B217">
        <f t="shared" si="12"/>
        <v>1</v>
      </c>
      <c r="C217" t="s">
        <v>22</v>
      </c>
      <c r="D217">
        <f t="shared" si="13"/>
        <v>2</v>
      </c>
      <c r="E217" t="s">
        <v>21</v>
      </c>
      <c r="F217">
        <f t="shared" si="14"/>
        <v>3</v>
      </c>
      <c r="G217" t="s">
        <v>10</v>
      </c>
      <c r="H217">
        <f t="shared" si="15"/>
        <v>1</v>
      </c>
    </row>
    <row r="218" spans="1:8" x14ac:dyDescent="0.35">
      <c r="A218" t="s">
        <v>11</v>
      </c>
      <c r="B218">
        <f t="shared" si="12"/>
        <v>1</v>
      </c>
      <c r="C218" t="s">
        <v>22</v>
      </c>
      <c r="D218">
        <f t="shared" si="13"/>
        <v>2</v>
      </c>
      <c r="E218" t="s">
        <v>21</v>
      </c>
      <c r="F218">
        <f t="shared" si="14"/>
        <v>3</v>
      </c>
      <c r="G218" t="s">
        <v>10</v>
      </c>
      <c r="H218">
        <f t="shared" si="15"/>
        <v>1</v>
      </c>
    </row>
    <row r="219" spans="1:8" x14ac:dyDescent="0.35">
      <c r="A219" t="s">
        <v>11</v>
      </c>
      <c r="B219">
        <f t="shared" si="12"/>
        <v>1</v>
      </c>
      <c r="C219" t="s">
        <v>22</v>
      </c>
      <c r="D219">
        <f t="shared" si="13"/>
        <v>2</v>
      </c>
      <c r="E219" t="s">
        <v>21</v>
      </c>
      <c r="F219">
        <f t="shared" si="14"/>
        <v>3</v>
      </c>
      <c r="G219" t="s">
        <v>10</v>
      </c>
      <c r="H219">
        <f t="shared" si="15"/>
        <v>1</v>
      </c>
    </row>
    <row r="220" spans="1:8" x14ac:dyDescent="0.35">
      <c r="A220" t="s">
        <v>7</v>
      </c>
      <c r="B220">
        <f t="shared" si="12"/>
        <v>2</v>
      </c>
      <c r="C220" t="s">
        <v>22</v>
      </c>
      <c r="D220">
        <f t="shared" si="13"/>
        <v>2</v>
      </c>
      <c r="E220" t="s">
        <v>21</v>
      </c>
      <c r="F220">
        <f t="shared" si="14"/>
        <v>3</v>
      </c>
      <c r="G220" t="s">
        <v>10</v>
      </c>
      <c r="H220">
        <f t="shared" si="15"/>
        <v>1</v>
      </c>
    </row>
    <row r="221" spans="1:8" x14ac:dyDescent="0.35">
      <c r="A221" t="s">
        <v>11</v>
      </c>
      <c r="B221">
        <f t="shared" si="12"/>
        <v>1</v>
      </c>
      <c r="C221" t="s">
        <v>22</v>
      </c>
      <c r="D221">
        <f t="shared" si="13"/>
        <v>2</v>
      </c>
      <c r="E221" t="s">
        <v>25</v>
      </c>
      <c r="F221">
        <f t="shared" si="14"/>
        <v>2</v>
      </c>
      <c r="G221" t="s">
        <v>24</v>
      </c>
      <c r="H221">
        <f t="shared" si="15"/>
        <v>2</v>
      </c>
    </row>
    <row r="222" spans="1:8" x14ac:dyDescent="0.35">
      <c r="A222" t="s">
        <v>7</v>
      </c>
      <c r="B222">
        <f t="shared" si="12"/>
        <v>2</v>
      </c>
      <c r="C222" t="s">
        <v>22</v>
      </c>
      <c r="D222">
        <f t="shared" si="13"/>
        <v>2</v>
      </c>
      <c r="E222" t="s">
        <v>25</v>
      </c>
      <c r="F222">
        <f t="shared" si="14"/>
        <v>2</v>
      </c>
      <c r="G222" t="s">
        <v>24</v>
      </c>
      <c r="H222">
        <f t="shared" si="15"/>
        <v>2</v>
      </c>
    </row>
    <row r="223" spans="1:8" x14ac:dyDescent="0.35">
      <c r="A223" t="s">
        <v>11</v>
      </c>
      <c r="B223">
        <f t="shared" si="12"/>
        <v>1</v>
      </c>
      <c r="C223" t="s">
        <v>22</v>
      </c>
      <c r="D223">
        <f t="shared" si="13"/>
        <v>2</v>
      </c>
      <c r="E223" t="s">
        <v>25</v>
      </c>
      <c r="F223">
        <f t="shared" si="14"/>
        <v>2</v>
      </c>
      <c r="G223" t="s">
        <v>24</v>
      </c>
      <c r="H223">
        <f t="shared" si="15"/>
        <v>2</v>
      </c>
    </row>
    <row r="224" spans="1:8" x14ac:dyDescent="0.35">
      <c r="A224" t="s">
        <v>7</v>
      </c>
      <c r="B224">
        <f t="shared" si="12"/>
        <v>2</v>
      </c>
      <c r="C224" t="s">
        <v>8</v>
      </c>
      <c r="D224">
        <f t="shared" si="13"/>
        <v>1</v>
      </c>
      <c r="E224" t="s">
        <v>25</v>
      </c>
      <c r="F224">
        <f t="shared" si="14"/>
        <v>2</v>
      </c>
      <c r="G224" t="s">
        <v>24</v>
      </c>
      <c r="H224">
        <f t="shared" si="15"/>
        <v>2</v>
      </c>
    </row>
    <row r="225" spans="1:8" x14ac:dyDescent="0.35">
      <c r="A225" t="s">
        <v>11</v>
      </c>
      <c r="B225">
        <f t="shared" si="12"/>
        <v>1</v>
      </c>
      <c r="C225" t="s">
        <v>22</v>
      </c>
      <c r="D225">
        <f t="shared" si="13"/>
        <v>2</v>
      </c>
      <c r="E225" t="s">
        <v>25</v>
      </c>
      <c r="F225">
        <f t="shared" si="14"/>
        <v>2</v>
      </c>
      <c r="G225" t="s">
        <v>24</v>
      </c>
      <c r="H225">
        <f t="shared" si="15"/>
        <v>2</v>
      </c>
    </row>
    <row r="226" spans="1:8" x14ac:dyDescent="0.35">
      <c r="A226" t="s">
        <v>7</v>
      </c>
      <c r="B226">
        <f t="shared" si="12"/>
        <v>2</v>
      </c>
      <c r="C226" t="s">
        <v>22</v>
      </c>
      <c r="D226">
        <f t="shared" si="13"/>
        <v>2</v>
      </c>
      <c r="E226" t="s">
        <v>25</v>
      </c>
      <c r="F226">
        <f t="shared" si="14"/>
        <v>2</v>
      </c>
      <c r="G226" t="s">
        <v>24</v>
      </c>
      <c r="H226">
        <f t="shared" si="15"/>
        <v>2</v>
      </c>
    </row>
    <row r="227" spans="1:8" x14ac:dyDescent="0.35">
      <c r="A227" t="s">
        <v>7</v>
      </c>
      <c r="B227">
        <f t="shared" si="12"/>
        <v>2</v>
      </c>
      <c r="C227" t="s">
        <v>22</v>
      </c>
      <c r="D227">
        <f t="shared" si="13"/>
        <v>2</v>
      </c>
      <c r="E227" t="s">
        <v>25</v>
      </c>
      <c r="F227">
        <f t="shared" si="14"/>
        <v>2</v>
      </c>
      <c r="G227" t="s">
        <v>24</v>
      </c>
      <c r="H227">
        <f t="shared" si="15"/>
        <v>2</v>
      </c>
    </row>
    <row r="228" spans="1:8" x14ac:dyDescent="0.35">
      <c r="A228" t="s">
        <v>11</v>
      </c>
      <c r="B228">
        <f t="shared" si="12"/>
        <v>1</v>
      </c>
      <c r="C228" t="s">
        <v>8</v>
      </c>
      <c r="D228">
        <f t="shared" si="13"/>
        <v>1</v>
      </c>
      <c r="E228" t="s">
        <v>21</v>
      </c>
      <c r="F228">
        <f t="shared" si="14"/>
        <v>3</v>
      </c>
      <c r="G228" t="s">
        <v>10</v>
      </c>
      <c r="H228">
        <f t="shared" si="15"/>
        <v>1</v>
      </c>
    </row>
    <row r="229" spans="1:8" x14ac:dyDescent="0.35">
      <c r="A229" t="s">
        <v>11</v>
      </c>
      <c r="B229">
        <f t="shared" si="12"/>
        <v>1</v>
      </c>
      <c r="C229" t="s">
        <v>8</v>
      </c>
      <c r="D229">
        <f t="shared" si="13"/>
        <v>1</v>
      </c>
      <c r="E229" t="s">
        <v>21</v>
      </c>
      <c r="F229">
        <f t="shared" si="14"/>
        <v>3</v>
      </c>
      <c r="G229" t="s">
        <v>10</v>
      </c>
      <c r="H229">
        <f t="shared" si="15"/>
        <v>1</v>
      </c>
    </row>
    <row r="230" spans="1:8" x14ac:dyDescent="0.35">
      <c r="A230" t="s">
        <v>7</v>
      </c>
      <c r="B230">
        <f t="shared" si="12"/>
        <v>2</v>
      </c>
      <c r="C230" t="s">
        <v>22</v>
      </c>
      <c r="D230">
        <f t="shared" si="13"/>
        <v>2</v>
      </c>
      <c r="E230" t="s">
        <v>21</v>
      </c>
      <c r="F230">
        <f t="shared" si="14"/>
        <v>3</v>
      </c>
      <c r="G230" t="s">
        <v>10</v>
      </c>
      <c r="H230">
        <f t="shared" si="15"/>
        <v>1</v>
      </c>
    </row>
    <row r="231" spans="1:8" x14ac:dyDescent="0.35">
      <c r="A231" t="s">
        <v>11</v>
      </c>
      <c r="B231">
        <f t="shared" si="12"/>
        <v>1</v>
      </c>
      <c r="C231" t="s">
        <v>22</v>
      </c>
      <c r="D231">
        <f t="shared" si="13"/>
        <v>2</v>
      </c>
      <c r="E231" t="s">
        <v>21</v>
      </c>
      <c r="F231">
        <f t="shared" si="14"/>
        <v>3</v>
      </c>
      <c r="G231" t="s">
        <v>10</v>
      </c>
      <c r="H231">
        <f t="shared" si="15"/>
        <v>1</v>
      </c>
    </row>
    <row r="232" spans="1:8" x14ac:dyDescent="0.35">
      <c r="A232" t="s">
        <v>11</v>
      </c>
      <c r="B232">
        <f t="shared" si="12"/>
        <v>1</v>
      </c>
      <c r="C232" t="s">
        <v>22</v>
      </c>
      <c r="D232">
        <f t="shared" si="13"/>
        <v>2</v>
      </c>
      <c r="E232" t="s">
        <v>21</v>
      </c>
      <c r="F232">
        <f t="shared" si="14"/>
        <v>3</v>
      </c>
      <c r="G232" t="s">
        <v>10</v>
      </c>
      <c r="H232">
        <f t="shared" si="15"/>
        <v>1</v>
      </c>
    </row>
    <row r="233" spans="1:8" x14ac:dyDescent="0.35">
      <c r="A233" t="s">
        <v>11</v>
      </c>
      <c r="B233">
        <f t="shared" si="12"/>
        <v>1</v>
      </c>
      <c r="C233" t="s">
        <v>8</v>
      </c>
      <c r="D233">
        <f t="shared" si="13"/>
        <v>1</v>
      </c>
      <c r="E233" t="s">
        <v>21</v>
      </c>
      <c r="F233">
        <f t="shared" si="14"/>
        <v>3</v>
      </c>
      <c r="G233" t="s">
        <v>10</v>
      </c>
      <c r="H233">
        <f t="shared" si="15"/>
        <v>1</v>
      </c>
    </row>
    <row r="234" spans="1:8" x14ac:dyDescent="0.35">
      <c r="A234" t="s">
        <v>11</v>
      </c>
      <c r="B234">
        <f t="shared" si="12"/>
        <v>1</v>
      </c>
      <c r="C234" t="s">
        <v>8</v>
      </c>
      <c r="D234">
        <f t="shared" si="13"/>
        <v>1</v>
      </c>
      <c r="E234" t="s">
        <v>21</v>
      </c>
      <c r="F234">
        <f t="shared" si="14"/>
        <v>3</v>
      </c>
      <c r="G234" t="s">
        <v>10</v>
      </c>
      <c r="H234">
        <f t="shared" si="15"/>
        <v>1</v>
      </c>
    </row>
    <row r="235" spans="1:8" x14ac:dyDescent="0.35">
      <c r="A235" t="s">
        <v>11</v>
      </c>
      <c r="B235">
        <f t="shared" si="12"/>
        <v>1</v>
      </c>
      <c r="C235" t="s">
        <v>22</v>
      </c>
      <c r="D235">
        <f t="shared" si="13"/>
        <v>2</v>
      </c>
      <c r="E235" t="s">
        <v>21</v>
      </c>
      <c r="F235">
        <f t="shared" si="14"/>
        <v>3</v>
      </c>
      <c r="G235" t="s">
        <v>10</v>
      </c>
      <c r="H235">
        <f t="shared" si="15"/>
        <v>1</v>
      </c>
    </row>
    <row r="236" spans="1:8" x14ac:dyDescent="0.35">
      <c r="A236" t="s">
        <v>11</v>
      </c>
      <c r="B236">
        <f t="shared" si="12"/>
        <v>1</v>
      </c>
      <c r="C236" t="s">
        <v>8</v>
      </c>
      <c r="D236">
        <f t="shared" si="13"/>
        <v>1</v>
      </c>
      <c r="E236" t="s">
        <v>21</v>
      </c>
      <c r="F236">
        <f t="shared" si="14"/>
        <v>3</v>
      </c>
      <c r="G236" t="s">
        <v>10</v>
      </c>
      <c r="H236">
        <f t="shared" si="15"/>
        <v>1</v>
      </c>
    </row>
    <row r="237" spans="1:8" x14ac:dyDescent="0.35">
      <c r="A237" t="s">
        <v>11</v>
      </c>
      <c r="B237">
        <f t="shared" si="12"/>
        <v>1</v>
      </c>
      <c r="C237" t="s">
        <v>22</v>
      </c>
      <c r="D237">
        <f t="shared" si="13"/>
        <v>2</v>
      </c>
      <c r="E237" t="s">
        <v>21</v>
      </c>
      <c r="F237">
        <f t="shared" si="14"/>
        <v>3</v>
      </c>
      <c r="G237" t="s">
        <v>10</v>
      </c>
      <c r="H237">
        <f t="shared" si="15"/>
        <v>1</v>
      </c>
    </row>
    <row r="238" spans="1:8" x14ac:dyDescent="0.35">
      <c r="A238" t="s">
        <v>11</v>
      </c>
      <c r="B238">
        <f t="shared" si="12"/>
        <v>1</v>
      </c>
      <c r="C238" t="s">
        <v>22</v>
      </c>
      <c r="D238">
        <f t="shared" si="13"/>
        <v>2</v>
      </c>
      <c r="E238" t="s">
        <v>21</v>
      </c>
      <c r="F238">
        <f t="shared" si="14"/>
        <v>3</v>
      </c>
      <c r="G238" t="s">
        <v>10</v>
      </c>
      <c r="H238">
        <f t="shared" si="15"/>
        <v>1</v>
      </c>
    </row>
    <row r="239" spans="1:8" x14ac:dyDescent="0.35">
      <c r="A239" t="s">
        <v>7</v>
      </c>
      <c r="B239">
        <f t="shared" si="12"/>
        <v>2</v>
      </c>
      <c r="C239" t="s">
        <v>8</v>
      </c>
      <c r="D239">
        <f t="shared" si="13"/>
        <v>1</v>
      </c>
      <c r="E239" t="s">
        <v>21</v>
      </c>
      <c r="F239">
        <f t="shared" si="14"/>
        <v>3</v>
      </c>
      <c r="G239" t="s">
        <v>10</v>
      </c>
      <c r="H239">
        <f t="shared" si="15"/>
        <v>1</v>
      </c>
    </row>
    <row r="240" spans="1:8" x14ac:dyDescent="0.35">
      <c r="A240" t="s">
        <v>11</v>
      </c>
      <c r="B240">
        <f t="shared" si="12"/>
        <v>1</v>
      </c>
      <c r="C240" t="s">
        <v>8</v>
      </c>
      <c r="D240">
        <f t="shared" si="13"/>
        <v>1</v>
      </c>
      <c r="E240" t="s">
        <v>21</v>
      </c>
      <c r="F240">
        <f t="shared" si="14"/>
        <v>3</v>
      </c>
      <c r="G240" t="s">
        <v>10</v>
      </c>
      <c r="H240">
        <f t="shared" si="15"/>
        <v>1</v>
      </c>
    </row>
    <row r="241" spans="1:8" x14ac:dyDescent="0.35">
      <c r="A241" t="s">
        <v>7</v>
      </c>
      <c r="B241">
        <f t="shared" si="12"/>
        <v>2</v>
      </c>
      <c r="C241" t="s">
        <v>22</v>
      </c>
      <c r="D241">
        <f t="shared" si="13"/>
        <v>2</v>
      </c>
      <c r="E241" t="s">
        <v>21</v>
      </c>
      <c r="F241">
        <f t="shared" si="14"/>
        <v>3</v>
      </c>
      <c r="G241" t="s">
        <v>10</v>
      </c>
      <c r="H241">
        <f t="shared" si="15"/>
        <v>1</v>
      </c>
    </row>
    <row r="242" spans="1:8" x14ac:dyDescent="0.35">
      <c r="A242" t="s">
        <v>11</v>
      </c>
      <c r="B242">
        <f t="shared" si="12"/>
        <v>1</v>
      </c>
      <c r="C242" t="s">
        <v>22</v>
      </c>
      <c r="D242">
        <f t="shared" si="13"/>
        <v>2</v>
      </c>
      <c r="E242" t="s">
        <v>21</v>
      </c>
      <c r="F242">
        <f t="shared" si="14"/>
        <v>3</v>
      </c>
      <c r="G242" t="s">
        <v>10</v>
      </c>
      <c r="H242">
        <f t="shared" si="15"/>
        <v>1</v>
      </c>
    </row>
    <row r="243" spans="1:8" x14ac:dyDescent="0.35">
      <c r="A243" t="s">
        <v>11</v>
      </c>
      <c r="B243">
        <f t="shared" si="12"/>
        <v>1</v>
      </c>
      <c r="C243" t="s">
        <v>8</v>
      </c>
      <c r="D243">
        <f t="shared" si="13"/>
        <v>1</v>
      </c>
      <c r="E243" t="s">
        <v>21</v>
      </c>
      <c r="F243">
        <f t="shared" si="14"/>
        <v>3</v>
      </c>
      <c r="G243" t="s">
        <v>10</v>
      </c>
      <c r="H243">
        <f t="shared" si="15"/>
        <v>1</v>
      </c>
    </row>
    <row r="244" spans="1:8" x14ac:dyDescent="0.35">
      <c r="A244" t="s">
        <v>7</v>
      </c>
      <c r="B244">
        <f t="shared" si="12"/>
        <v>2</v>
      </c>
      <c r="C244" t="s">
        <v>8</v>
      </c>
      <c r="D244">
        <f t="shared" si="13"/>
        <v>1</v>
      </c>
      <c r="E244" t="s">
        <v>23</v>
      </c>
      <c r="F244">
        <f t="shared" si="14"/>
        <v>4</v>
      </c>
      <c r="G244" t="s">
        <v>10</v>
      </c>
      <c r="H244">
        <f t="shared" si="15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E968-122B-4CE9-9B96-B036411B6C07}">
  <dimension ref="A1:T244"/>
  <sheetViews>
    <sheetView zoomScale="74" workbookViewId="0">
      <selection activeCell="K14" sqref="K14"/>
    </sheetView>
  </sheetViews>
  <sheetFormatPr defaultRowHeight="14.5" x14ac:dyDescent="0.35"/>
  <cols>
    <col min="1" max="1" width="15" customWidth="1"/>
    <col min="2" max="2" width="20.1796875" customWidth="1"/>
    <col min="3" max="4" width="14.90625" customWidth="1"/>
    <col min="6" max="6" width="12.26953125" customWidth="1"/>
    <col min="7" max="7" width="13.1796875" customWidth="1"/>
    <col min="9" max="9" width="18" customWidth="1"/>
    <col min="10" max="10" width="21.453125" customWidth="1"/>
    <col min="11" max="11" width="96.7265625" customWidth="1"/>
    <col min="13" max="13" width="13.1796875" customWidth="1"/>
    <col min="14" max="14" width="12.08984375" customWidth="1"/>
    <col min="15" max="15" width="12.54296875" customWidth="1"/>
    <col min="16" max="16" width="13" customWidth="1"/>
    <col min="17" max="17" width="12.6328125" customWidth="1"/>
    <col min="18" max="18" width="12" customWidth="1"/>
    <col min="19" max="19" width="10.6328125" customWidth="1"/>
    <col min="20" max="20" width="18.6328125" style="5" customWidth="1"/>
    <col min="22" max="22" width="8.984375E-2" customWidth="1"/>
    <col min="24" max="24" width="12.08984375" customWidth="1"/>
    <col min="35" max="35" width="17.08984375" customWidth="1"/>
  </cols>
  <sheetData>
    <row r="1" spans="1:20" ht="15.5" x14ac:dyDescent="0.35">
      <c r="A1" s="7" t="s">
        <v>26</v>
      </c>
      <c r="B1" s="7" t="s">
        <v>27</v>
      </c>
      <c r="C1" s="7" t="s">
        <v>28</v>
      </c>
      <c r="D1" s="7" t="s">
        <v>29</v>
      </c>
      <c r="E1" s="7" t="s">
        <v>4</v>
      </c>
      <c r="F1" s="7" t="s">
        <v>5</v>
      </c>
      <c r="G1" s="7" t="s">
        <v>77</v>
      </c>
      <c r="T1"/>
    </row>
    <row r="2" spans="1:20" ht="15.5" x14ac:dyDescent="0.35">
      <c r="A2" s="7">
        <v>2</v>
      </c>
      <c r="B2" s="7">
        <v>1</v>
      </c>
      <c r="C2" s="7">
        <v>1</v>
      </c>
      <c r="D2" s="7">
        <v>1</v>
      </c>
      <c r="E2" s="7">
        <v>2</v>
      </c>
      <c r="F2" s="7">
        <v>16.989999999999998</v>
      </c>
      <c r="G2" s="7">
        <v>1.01</v>
      </c>
      <c r="T2"/>
    </row>
    <row r="3" spans="1:20" ht="15.5" x14ac:dyDescent="0.35">
      <c r="A3" s="7">
        <v>1</v>
      </c>
      <c r="B3" s="7">
        <v>1</v>
      </c>
      <c r="C3" s="7">
        <v>1</v>
      </c>
      <c r="D3" s="7">
        <v>1</v>
      </c>
      <c r="E3" s="7">
        <v>3</v>
      </c>
      <c r="F3" s="7">
        <v>10.34</v>
      </c>
      <c r="G3" s="7">
        <v>1.66</v>
      </c>
      <c r="T3"/>
    </row>
    <row r="4" spans="1:20" ht="15.5" x14ac:dyDescent="0.35">
      <c r="A4" s="7">
        <v>1</v>
      </c>
      <c r="B4" s="7">
        <v>1</v>
      </c>
      <c r="C4" s="7">
        <v>1</v>
      </c>
      <c r="D4" s="7">
        <v>1</v>
      </c>
      <c r="E4" s="7">
        <v>3</v>
      </c>
      <c r="F4" s="7">
        <v>21.01</v>
      </c>
      <c r="G4" s="7">
        <v>3.5</v>
      </c>
      <c r="T4"/>
    </row>
    <row r="5" spans="1:20" ht="15.5" x14ac:dyDescent="0.35">
      <c r="A5" s="7">
        <v>1</v>
      </c>
      <c r="B5" s="7">
        <v>1</v>
      </c>
      <c r="C5" s="7">
        <v>1</v>
      </c>
      <c r="D5" s="7">
        <v>1</v>
      </c>
      <c r="E5" s="7">
        <v>2</v>
      </c>
      <c r="F5" s="7">
        <v>23.68</v>
      </c>
      <c r="G5" s="7">
        <v>3.31</v>
      </c>
      <c r="T5"/>
    </row>
    <row r="6" spans="1:20" ht="15.5" x14ac:dyDescent="0.35">
      <c r="A6" s="7">
        <v>2</v>
      </c>
      <c r="B6" s="7">
        <v>1</v>
      </c>
      <c r="C6" s="7">
        <v>1</v>
      </c>
      <c r="D6" s="7">
        <v>1</v>
      </c>
      <c r="E6" s="7">
        <v>4</v>
      </c>
      <c r="F6" s="7">
        <v>24.59</v>
      </c>
      <c r="G6" s="7">
        <v>3.61</v>
      </c>
      <c r="T6"/>
    </row>
    <row r="7" spans="1:20" ht="15.5" x14ac:dyDescent="0.35">
      <c r="A7" s="7">
        <v>1</v>
      </c>
      <c r="B7" s="7">
        <v>1</v>
      </c>
      <c r="C7" s="7">
        <v>1</v>
      </c>
      <c r="D7" s="7">
        <v>1</v>
      </c>
      <c r="E7" s="7">
        <v>4</v>
      </c>
      <c r="F7" s="7">
        <v>25.29</v>
      </c>
      <c r="G7" s="7">
        <v>4.71</v>
      </c>
      <c r="T7"/>
    </row>
    <row r="8" spans="1:20" ht="15.5" x14ac:dyDescent="0.35">
      <c r="A8" s="7">
        <v>1</v>
      </c>
      <c r="B8" s="7">
        <v>1</v>
      </c>
      <c r="C8" s="7">
        <v>1</v>
      </c>
      <c r="D8" s="7">
        <v>1</v>
      </c>
      <c r="E8" s="7">
        <v>2</v>
      </c>
      <c r="F8" s="7">
        <v>8.77</v>
      </c>
      <c r="G8" s="7">
        <v>2</v>
      </c>
      <c r="T8"/>
    </row>
    <row r="9" spans="1:20" ht="15.5" x14ac:dyDescent="0.35">
      <c r="A9" s="7">
        <v>1</v>
      </c>
      <c r="B9" s="7">
        <v>1</v>
      </c>
      <c r="C9" s="7">
        <v>1</v>
      </c>
      <c r="D9" s="7">
        <v>1</v>
      </c>
      <c r="E9" s="7">
        <v>4</v>
      </c>
      <c r="F9" s="7">
        <v>26.88</v>
      </c>
      <c r="G9" s="7">
        <v>3.12</v>
      </c>
      <c r="T9"/>
    </row>
    <row r="10" spans="1:20" ht="15.5" x14ac:dyDescent="0.35">
      <c r="A10" s="7">
        <v>1</v>
      </c>
      <c r="B10" s="7">
        <v>1</v>
      </c>
      <c r="C10" s="7">
        <v>1</v>
      </c>
      <c r="D10" s="7">
        <v>1</v>
      </c>
      <c r="E10" s="7">
        <v>2</v>
      </c>
      <c r="F10" s="7">
        <v>15.04</v>
      </c>
      <c r="G10" s="7">
        <v>1.96</v>
      </c>
      <c r="T10"/>
    </row>
    <row r="11" spans="1:20" ht="15.5" x14ac:dyDescent="0.35">
      <c r="A11" s="7">
        <v>1</v>
      </c>
      <c r="B11" s="7">
        <v>1</v>
      </c>
      <c r="C11" s="7">
        <v>1</v>
      </c>
      <c r="D11" s="7">
        <v>1</v>
      </c>
      <c r="E11" s="7">
        <v>2</v>
      </c>
      <c r="F11" s="7">
        <v>14.78</v>
      </c>
      <c r="G11" s="7">
        <v>3.23</v>
      </c>
      <c r="T11"/>
    </row>
    <row r="12" spans="1:20" ht="15.5" x14ac:dyDescent="0.35">
      <c r="A12" s="7">
        <v>1</v>
      </c>
      <c r="B12" s="7">
        <v>1</v>
      </c>
      <c r="C12" s="7">
        <v>1</v>
      </c>
      <c r="D12" s="7">
        <v>1</v>
      </c>
      <c r="E12" s="7">
        <v>2</v>
      </c>
      <c r="F12" s="7">
        <v>10.27</v>
      </c>
      <c r="G12" s="7">
        <v>1.71</v>
      </c>
      <c r="T12"/>
    </row>
    <row r="13" spans="1:20" ht="15.5" x14ac:dyDescent="0.35">
      <c r="A13" s="7">
        <v>2</v>
      </c>
      <c r="B13" s="7">
        <v>1</v>
      </c>
      <c r="C13" s="7">
        <v>1</v>
      </c>
      <c r="D13" s="7">
        <v>1</v>
      </c>
      <c r="E13" s="7">
        <v>4</v>
      </c>
      <c r="F13" s="7">
        <v>35.26</v>
      </c>
      <c r="G13" s="7">
        <v>5</v>
      </c>
      <c r="T13"/>
    </row>
    <row r="14" spans="1:20" ht="15.5" x14ac:dyDescent="0.35">
      <c r="A14" s="7">
        <v>1</v>
      </c>
      <c r="B14" s="7">
        <v>1</v>
      </c>
      <c r="C14" s="7">
        <v>1</v>
      </c>
      <c r="D14" s="7">
        <v>1</v>
      </c>
      <c r="E14" s="7">
        <v>2</v>
      </c>
      <c r="F14" s="7">
        <v>15.42</v>
      </c>
      <c r="G14" s="7">
        <v>1.57</v>
      </c>
      <c r="T14"/>
    </row>
    <row r="15" spans="1:20" ht="15.5" x14ac:dyDescent="0.35">
      <c r="A15" s="7">
        <v>1</v>
      </c>
      <c r="B15" s="7">
        <v>1</v>
      </c>
      <c r="C15" s="7">
        <v>1</v>
      </c>
      <c r="D15" s="7">
        <v>1</v>
      </c>
      <c r="E15" s="7">
        <v>4</v>
      </c>
      <c r="F15" s="7">
        <v>18.43</v>
      </c>
      <c r="G15" s="7">
        <v>3</v>
      </c>
      <c r="T15"/>
    </row>
    <row r="16" spans="1:20" ht="15.5" x14ac:dyDescent="0.35">
      <c r="A16" s="7">
        <v>2</v>
      </c>
      <c r="B16" s="7">
        <v>1</v>
      </c>
      <c r="C16" s="7">
        <v>1</v>
      </c>
      <c r="D16" s="7">
        <v>1</v>
      </c>
      <c r="E16" s="7">
        <v>2</v>
      </c>
      <c r="F16" s="7">
        <v>14.83</v>
      </c>
      <c r="G16" s="7">
        <v>3.02</v>
      </c>
      <c r="T16"/>
    </row>
    <row r="17" spans="1:20" ht="15.5" x14ac:dyDescent="0.35">
      <c r="A17" s="7">
        <v>1</v>
      </c>
      <c r="B17" s="7">
        <v>1</v>
      </c>
      <c r="C17" s="7">
        <v>1</v>
      </c>
      <c r="D17" s="7">
        <v>1</v>
      </c>
      <c r="E17" s="7">
        <v>2</v>
      </c>
      <c r="F17" s="7">
        <v>21.58</v>
      </c>
      <c r="G17" s="7">
        <v>3.92</v>
      </c>
      <c r="T17"/>
    </row>
    <row r="18" spans="1:20" ht="15.5" x14ac:dyDescent="0.35">
      <c r="A18" s="7">
        <v>2</v>
      </c>
      <c r="B18" s="7">
        <v>1</v>
      </c>
      <c r="C18" s="7">
        <v>1</v>
      </c>
      <c r="D18" s="7">
        <v>1</v>
      </c>
      <c r="E18" s="7">
        <v>3</v>
      </c>
      <c r="F18" s="7">
        <v>10.33</v>
      </c>
      <c r="G18" s="7">
        <v>1.67</v>
      </c>
      <c r="T18"/>
    </row>
    <row r="19" spans="1:20" ht="15.5" x14ac:dyDescent="0.35">
      <c r="A19" s="7">
        <v>1</v>
      </c>
      <c r="B19" s="7">
        <v>1</v>
      </c>
      <c r="C19" s="7">
        <v>1</v>
      </c>
      <c r="D19" s="7">
        <v>1</v>
      </c>
      <c r="E19" s="7">
        <v>3</v>
      </c>
      <c r="F19" s="7">
        <v>16.29</v>
      </c>
      <c r="G19" s="7">
        <v>3.71</v>
      </c>
      <c r="T19"/>
    </row>
    <row r="20" spans="1:20" ht="15.5" x14ac:dyDescent="0.35">
      <c r="A20" s="7">
        <v>2</v>
      </c>
      <c r="B20" s="7">
        <v>1</v>
      </c>
      <c r="C20" s="7">
        <v>1</v>
      </c>
      <c r="D20" s="7">
        <v>1</v>
      </c>
      <c r="E20" s="7">
        <v>3</v>
      </c>
      <c r="F20" s="7">
        <v>16.97</v>
      </c>
      <c r="G20" s="7">
        <v>3.5</v>
      </c>
      <c r="T20"/>
    </row>
    <row r="21" spans="1:20" ht="15.5" x14ac:dyDescent="0.35">
      <c r="A21" s="7">
        <v>1</v>
      </c>
      <c r="B21" s="7">
        <v>1</v>
      </c>
      <c r="C21" s="7">
        <v>3</v>
      </c>
      <c r="D21" s="7">
        <v>1</v>
      </c>
      <c r="E21" s="7">
        <v>3</v>
      </c>
      <c r="F21" s="7">
        <v>20.65</v>
      </c>
      <c r="G21" s="7">
        <v>3.35</v>
      </c>
      <c r="T21"/>
    </row>
    <row r="22" spans="1:20" ht="15.5" x14ac:dyDescent="0.35">
      <c r="A22" s="7">
        <v>1</v>
      </c>
      <c r="B22" s="7">
        <v>1</v>
      </c>
      <c r="C22" s="7">
        <v>3</v>
      </c>
      <c r="D22" s="7">
        <v>1</v>
      </c>
      <c r="E22" s="7">
        <v>2</v>
      </c>
      <c r="F22" s="7">
        <v>17.920000000000002</v>
      </c>
      <c r="G22" s="7">
        <v>4.08</v>
      </c>
      <c r="T22"/>
    </row>
    <row r="23" spans="1:20" ht="15.5" x14ac:dyDescent="0.35">
      <c r="A23" s="7">
        <v>2</v>
      </c>
      <c r="B23" s="7">
        <v>1</v>
      </c>
      <c r="C23" s="7">
        <v>3</v>
      </c>
      <c r="D23" s="7">
        <v>1</v>
      </c>
      <c r="E23" s="7">
        <v>2</v>
      </c>
      <c r="F23" s="7">
        <v>20.29</v>
      </c>
      <c r="G23" s="7">
        <v>2.75</v>
      </c>
      <c r="T23"/>
    </row>
    <row r="24" spans="1:20" ht="15.5" x14ac:dyDescent="0.35">
      <c r="A24" s="7">
        <v>2</v>
      </c>
      <c r="B24" s="7">
        <v>1</v>
      </c>
      <c r="C24" s="7">
        <v>3</v>
      </c>
      <c r="D24" s="7">
        <v>1</v>
      </c>
      <c r="E24" s="7">
        <v>2</v>
      </c>
      <c r="F24" s="7">
        <v>15.77</v>
      </c>
      <c r="G24" s="7">
        <v>2.23</v>
      </c>
      <c r="T24"/>
    </row>
    <row r="25" spans="1:20" ht="15.5" x14ac:dyDescent="0.35">
      <c r="A25" s="7">
        <v>1</v>
      </c>
      <c r="B25" s="7">
        <v>1</v>
      </c>
      <c r="C25" s="7">
        <v>3</v>
      </c>
      <c r="D25" s="7">
        <v>1</v>
      </c>
      <c r="E25" s="7">
        <v>4</v>
      </c>
      <c r="F25" s="7">
        <v>39.42</v>
      </c>
      <c r="G25" s="7">
        <v>7.58</v>
      </c>
      <c r="T25"/>
    </row>
    <row r="26" spans="1:20" ht="15.5" x14ac:dyDescent="0.35">
      <c r="A26" s="7">
        <v>1</v>
      </c>
      <c r="B26" s="7">
        <v>1</v>
      </c>
      <c r="C26" s="7">
        <v>3</v>
      </c>
      <c r="D26" s="7">
        <v>1</v>
      </c>
      <c r="E26" s="7">
        <v>2</v>
      </c>
      <c r="F26" s="7">
        <v>19.82</v>
      </c>
      <c r="G26" s="7">
        <v>3.18</v>
      </c>
      <c r="T26"/>
    </row>
    <row r="27" spans="1:20" ht="15.5" x14ac:dyDescent="0.35">
      <c r="A27" s="7">
        <v>1</v>
      </c>
      <c r="B27" s="7">
        <v>1</v>
      </c>
      <c r="C27" s="7">
        <v>3</v>
      </c>
      <c r="D27" s="7">
        <v>1</v>
      </c>
      <c r="E27" s="7">
        <v>4</v>
      </c>
      <c r="F27" s="7">
        <v>17.809999999999999</v>
      </c>
      <c r="G27" s="7">
        <v>2.34</v>
      </c>
      <c r="T27"/>
    </row>
    <row r="28" spans="1:20" ht="15.5" x14ac:dyDescent="0.35">
      <c r="A28" s="7">
        <v>1</v>
      </c>
      <c r="B28" s="7">
        <v>1</v>
      </c>
      <c r="C28" s="7">
        <v>3</v>
      </c>
      <c r="D28" s="7">
        <v>1</v>
      </c>
      <c r="E28" s="7">
        <v>2</v>
      </c>
      <c r="F28" s="7">
        <v>13.37</v>
      </c>
      <c r="G28" s="7">
        <v>2</v>
      </c>
      <c r="T28"/>
    </row>
    <row r="29" spans="1:20" ht="15.5" x14ac:dyDescent="0.35">
      <c r="A29" s="7">
        <v>1</v>
      </c>
      <c r="B29" s="7">
        <v>1</v>
      </c>
      <c r="C29" s="7">
        <v>3</v>
      </c>
      <c r="D29" s="7">
        <v>1</v>
      </c>
      <c r="E29" s="7">
        <v>2</v>
      </c>
      <c r="F29" s="7">
        <v>12.69</v>
      </c>
      <c r="G29" s="7">
        <v>2</v>
      </c>
      <c r="T29"/>
    </row>
    <row r="30" spans="1:20" ht="15.5" x14ac:dyDescent="0.35">
      <c r="A30" s="7">
        <v>1</v>
      </c>
      <c r="B30" s="7">
        <v>1</v>
      </c>
      <c r="C30" s="7">
        <v>3</v>
      </c>
      <c r="D30" s="7">
        <v>1</v>
      </c>
      <c r="E30" s="7">
        <v>2</v>
      </c>
      <c r="F30" s="7">
        <v>21.7</v>
      </c>
      <c r="G30" s="7">
        <v>4.3</v>
      </c>
      <c r="T30"/>
    </row>
    <row r="31" spans="1:20" ht="15.5" x14ac:dyDescent="0.35">
      <c r="A31" s="7">
        <v>2</v>
      </c>
      <c r="B31" s="7">
        <v>1</v>
      </c>
      <c r="C31" s="7">
        <v>3</v>
      </c>
      <c r="D31" s="7">
        <v>1</v>
      </c>
      <c r="E31" s="7">
        <v>2</v>
      </c>
      <c r="F31" s="7">
        <v>19.649999999999999</v>
      </c>
      <c r="G31" s="7">
        <v>3</v>
      </c>
      <c r="T31"/>
    </row>
    <row r="32" spans="1:20" ht="15.5" x14ac:dyDescent="0.35">
      <c r="A32" s="7">
        <v>1</v>
      </c>
      <c r="B32" s="7">
        <v>1</v>
      </c>
      <c r="C32" s="7">
        <v>3</v>
      </c>
      <c r="D32" s="7">
        <v>1</v>
      </c>
      <c r="E32" s="7">
        <v>2</v>
      </c>
      <c r="F32" s="7">
        <v>9.5500000000000007</v>
      </c>
      <c r="G32" s="7">
        <v>1.45</v>
      </c>
      <c r="T32"/>
    </row>
    <row r="33" spans="1:20" ht="15.5" x14ac:dyDescent="0.35">
      <c r="A33" s="7">
        <v>1</v>
      </c>
      <c r="B33" s="7">
        <v>1</v>
      </c>
      <c r="C33" s="7">
        <v>3</v>
      </c>
      <c r="D33" s="7">
        <v>1</v>
      </c>
      <c r="E33" s="7">
        <v>4</v>
      </c>
      <c r="F33" s="7">
        <v>18.350000000000001</v>
      </c>
      <c r="G33" s="7">
        <v>2.5</v>
      </c>
      <c r="T33"/>
    </row>
    <row r="34" spans="1:20" ht="15.5" x14ac:dyDescent="0.35">
      <c r="A34" s="7">
        <v>2</v>
      </c>
      <c r="B34" s="7">
        <v>1</v>
      </c>
      <c r="C34" s="7">
        <v>3</v>
      </c>
      <c r="D34" s="7">
        <v>1</v>
      </c>
      <c r="E34" s="7">
        <v>2</v>
      </c>
      <c r="F34" s="7">
        <v>15.06</v>
      </c>
      <c r="G34" s="7">
        <v>3</v>
      </c>
      <c r="T34"/>
    </row>
    <row r="35" spans="1:20" ht="15.5" x14ac:dyDescent="0.35">
      <c r="A35" s="7">
        <v>2</v>
      </c>
      <c r="B35" s="7">
        <v>1</v>
      </c>
      <c r="C35" s="7">
        <v>3</v>
      </c>
      <c r="D35" s="7">
        <v>1</v>
      </c>
      <c r="E35" s="7">
        <v>4</v>
      </c>
      <c r="F35" s="7">
        <v>20.69</v>
      </c>
      <c r="G35" s="7">
        <v>2.4500000000000002</v>
      </c>
      <c r="T35"/>
    </row>
    <row r="36" spans="1:20" ht="15.5" x14ac:dyDescent="0.35">
      <c r="A36" s="7">
        <v>1</v>
      </c>
      <c r="B36" s="7">
        <v>1</v>
      </c>
      <c r="C36" s="7">
        <v>3</v>
      </c>
      <c r="D36" s="7">
        <v>1</v>
      </c>
      <c r="E36" s="7">
        <v>2</v>
      </c>
      <c r="F36" s="7">
        <v>17.78</v>
      </c>
      <c r="G36" s="7">
        <v>3.27</v>
      </c>
      <c r="T36"/>
    </row>
    <row r="37" spans="1:20" ht="15.5" x14ac:dyDescent="0.35">
      <c r="A37" s="7">
        <v>1</v>
      </c>
      <c r="B37" s="7">
        <v>1</v>
      </c>
      <c r="C37" s="7">
        <v>3</v>
      </c>
      <c r="D37" s="7">
        <v>1</v>
      </c>
      <c r="E37" s="7">
        <v>3</v>
      </c>
      <c r="F37" s="7">
        <v>24.06</v>
      </c>
      <c r="G37" s="7">
        <v>3.6</v>
      </c>
      <c r="T37"/>
    </row>
    <row r="38" spans="1:20" ht="15.5" x14ac:dyDescent="0.35">
      <c r="A38" s="7">
        <v>1</v>
      </c>
      <c r="B38" s="7">
        <v>1</v>
      </c>
      <c r="C38" s="7">
        <v>3</v>
      </c>
      <c r="D38" s="7">
        <v>1</v>
      </c>
      <c r="E38" s="7">
        <v>3</v>
      </c>
      <c r="F38" s="7">
        <v>16.309999999999999</v>
      </c>
      <c r="G38" s="7">
        <v>2</v>
      </c>
      <c r="T38"/>
    </row>
    <row r="39" spans="1:20" ht="15.5" x14ac:dyDescent="0.35">
      <c r="A39" s="7">
        <v>2</v>
      </c>
      <c r="B39" s="7">
        <v>1</v>
      </c>
      <c r="C39" s="7">
        <v>3</v>
      </c>
      <c r="D39" s="7">
        <v>1</v>
      </c>
      <c r="E39" s="7">
        <v>3</v>
      </c>
      <c r="F39" s="7">
        <v>16.93</v>
      </c>
      <c r="G39" s="7">
        <v>3.07</v>
      </c>
      <c r="T39"/>
    </row>
    <row r="40" spans="1:20" ht="15.5" x14ac:dyDescent="0.35">
      <c r="A40" s="7">
        <v>1</v>
      </c>
      <c r="B40" s="7">
        <v>1</v>
      </c>
      <c r="C40" s="7">
        <v>3</v>
      </c>
      <c r="D40" s="7">
        <v>1</v>
      </c>
      <c r="E40" s="7">
        <v>3</v>
      </c>
      <c r="F40" s="7">
        <v>18.690000000000001</v>
      </c>
      <c r="G40" s="7">
        <v>2.31</v>
      </c>
      <c r="T40"/>
    </row>
    <row r="41" spans="1:20" ht="15.5" x14ac:dyDescent="0.35">
      <c r="A41" s="7">
        <v>1</v>
      </c>
      <c r="B41" s="7">
        <v>1</v>
      </c>
      <c r="C41" s="7">
        <v>3</v>
      </c>
      <c r="D41" s="7">
        <v>1</v>
      </c>
      <c r="E41" s="7">
        <v>3</v>
      </c>
      <c r="F41" s="7">
        <v>31.27</v>
      </c>
      <c r="G41" s="7">
        <v>5</v>
      </c>
      <c r="T41"/>
    </row>
    <row r="42" spans="1:20" ht="15.5" x14ac:dyDescent="0.35">
      <c r="A42" s="7">
        <v>1</v>
      </c>
      <c r="B42" s="7">
        <v>1</v>
      </c>
      <c r="C42" s="7">
        <v>3</v>
      </c>
      <c r="D42" s="7">
        <v>1</v>
      </c>
      <c r="E42" s="7">
        <v>3</v>
      </c>
      <c r="F42" s="7">
        <v>16.04</v>
      </c>
      <c r="G42" s="7">
        <v>2.2400000000000002</v>
      </c>
      <c r="T42"/>
    </row>
    <row r="43" spans="1:20" ht="15.5" x14ac:dyDescent="0.35">
      <c r="A43" s="7">
        <v>1</v>
      </c>
      <c r="B43" s="7">
        <v>1</v>
      </c>
      <c r="C43" s="7">
        <v>1</v>
      </c>
      <c r="D43" s="7">
        <v>1</v>
      </c>
      <c r="E43" s="7">
        <v>2</v>
      </c>
      <c r="F43" s="7">
        <v>17.46</v>
      </c>
      <c r="G43" s="7">
        <v>2.54</v>
      </c>
      <c r="T43"/>
    </row>
    <row r="44" spans="1:20" ht="15.5" x14ac:dyDescent="0.35">
      <c r="A44" s="7">
        <v>1</v>
      </c>
      <c r="B44" s="7">
        <v>1</v>
      </c>
      <c r="C44" s="7">
        <v>1</v>
      </c>
      <c r="D44" s="7">
        <v>1</v>
      </c>
      <c r="E44" s="7">
        <v>2</v>
      </c>
      <c r="F44" s="7">
        <v>13.94</v>
      </c>
      <c r="G44" s="7">
        <v>3.06</v>
      </c>
      <c r="T44"/>
    </row>
    <row r="45" spans="1:20" ht="15.5" x14ac:dyDescent="0.35">
      <c r="A45" s="7">
        <v>1</v>
      </c>
      <c r="B45" s="7">
        <v>1</v>
      </c>
      <c r="C45" s="7">
        <v>1</v>
      </c>
      <c r="D45" s="7">
        <v>1</v>
      </c>
      <c r="E45" s="7">
        <v>2</v>
      </c>
      <c r="F45" s="7">
        <v>9.68</v>
      </c>
      <c r="G45" s="7">
        <v>1.32</v>
      </c>
      <c r="T45"/>
    </row>
    <row r="46" spans="1:20" ht="15.5" x14ac:dyDescent="0.35">
      <c r="A46" s="7">
        <v>1</v>
      </c>
      <c r="B46" s="7">
        <v>1</v>
      </c>
      <c r="C46" s="7">
        <v>1</v>
      </c>
      <c r="D46" s="7">
        <v>1</v>
      </c>
      <c r="E46" s="7">
        <v>4</v>
      </c>
      <c r="F46" s="7">
        <v>30.4</v>
      </c>
      <c r="G46" s="7">
        <v>5.6</v>
      </c>
      <c r="T46"/>
    </row>
    <row r="47" spans="1:20" ht="15.5" x14ac:dyDescent="0.35">
      <c r="A47" s="7">
        <v>1</v>
      </c>
      <c r="B47" s="7">
        <v>1</v>
      </c>
      <c r="C47" s="7">
        <v>1</v>
      </c>
      <c r="D47" s="7">
        <v>1</v>
      </c>
      <c r="E47" s="7">
        <v>2</v>
      </c>
      <c r="F47" s="7">
        <v>18.29</v>
      </c>
      <c r="G47" s="7">
        <v>3</v>
      </c>
      <c r="T47"/>
    </row>
    <row r="48" spans="1:20" ht="15.5" x14ac:dyDescent="0.35">
      <c r="A48" s="7">
        <v>1</v>
      </c>
      <c r="B48" s="7">
        <v>1</v>
      </c>
      <c r="C48" s="7">
        <v>1</v>
      </c>
      <c r="D48" s="7">
        <v>1</v>
      </c>
      <c r="E48" s="7">
        <v>2</v>
      </c>
      <c r="F48" s="7">
        <v>22.23</v>
      </c>
      <c r="G48" s="7">
        <v>5</v>
      </c>
      <c r="T48"/>
    </row>
    <row r="49" spans="1:20" ht="15.5" x14ac:dyDescent="0.35">
      <c r="A49" s="7">
        <v>1</v>
      </c>
      <c r="B49" s="7">
        <v>1</v>
      </c>
      <c r="C49" s="7">
        <v>1</v>
      </c>
      <c r="D49" s="7">
        <v>1</v>
      </c>
      <c r="E49" s="7">
        <v>4</v>
      </c>
      <c r="F49" s="7">
        <v>32.4</v>
      </c>
      <c r="G49" s="7">
        <v>6</v>
      </c>
      <c r="T49"/>
    </row>
    <row r="50" spans="1:20" ht="15.5" x14ac:dyDescent="0.35">
      <c r="A50" s="7">
        <v>1</v>
      </c>
      <c r="B50" s="7">
        <v>1</v>
      </c>
      <c r="C50" s="7">
        <v>1</v>
      </c>
      <c r="D50" s="7">
        <v>1</v>
      </c>
      <c r="E50" s="7">
        <v>3</v>
      </c>
      <c r="F50" s="7">
        <v>28.55</v>
      </c>
      <c r="G50" s="7">
        <v>2.0499999999999998</v>
      </c>
      <c r="T50"/>
    </row>
    <row r="51" spans="1:20" ht="15.5" x14ac:dyDescent="0.35">
      <c r="A51" s="7">
        <v>1</v>
      </c>
      <c r="B51" s="7">
        <v>1</v>
      </c>
      <c r="C51" s="7">
        <v>1</v>
      </c>
      <c r="D51" s="7">
        <v>1</v>
      </c>
      <c r="E51" s="7">
        <v>2</v>
      </c>
      <c r="F51" s="7">
        <v>18.04</v>
      </c>
      <c r="G51" s="7">
        <v>3</v>
      </c>
      <c r="T51"/>
    </row>
    <row r="52" spans="1:20" ht="15.5" x14ac:dyDescent="0.35">
      <c r="A52" s="7">
        <v>1</v>
      </c>
      <c r="B52" s="7">
        <v>1</v>
      </c>
      <c r="C52" s="7">
        <v>1</v>
      </c>
      <c r="D52" s="7">
        <v>1</v>
      </c>
      <c r="E52" s="7">
        <v>2</v>
      </c>
      <c r="F52" s="7">
        <v>12.54</v>
      </c>
      <c r="G52" s="7">
        <v>2.5</v>
      </c>
      <c r="T52"/>
    </row>
    <row r="53" spans="1:20" ht="15.5" x14ac:dyDescent="0.35">
      <c r="A53" s="7">
        <v>2</v>
      </c>
      <c r="B53" s="7">
        <v>1</v>
      </c>
      <c r="C53" s="7">
        <v>1</v>
      </c>
      <c r="D53" s="7">
        <v>1</v>
      </c>
      <c r="E53" s="7">
        <v>2</v>
      </c>
      <c r="F53" s="7">
        <v>10.29</v>
      </c>
      <c r="G53" s="7">
        <v>2.6</v>
      </c>
      <c r="T53"/>
    </row>
    <row r="54" spans="1:20" ht="15.5" x14ac:dyDescent="0.35">
      <c r="A54" s="7">
        <v>2</v>
      </c>
      <c r="B54" s="7">
        <v>1</v>
      </c>
      <c r="C54" s="7">
        <v>1</v>
      </c>
      <c r="D54" s="7">
        <v>1</v>
      </c>
      <c r="E54" s="7">
        <v>4</v>
      </c>
      <c r="F54" s="7">
        <v>34.81</v>
      </c>
      <c r="G54" s="7">
        <v>5.2</v>
      </c>
      <c r="T54"/>
    </row>
    <row r="55" spans="1:20" ht="15.5" x14ac:dyDescent="0.35">
      <c r="A55" s="7">
        <v>1</v>
      </c>
      <c r="B55" s="7">
        <v>1</v>
      </c>
      <c r="C55" s="7">
        <v>1</v>
      </c>
      <c r="D55" s="7">
        <v>1</v>
      </c>
      <c r="E55" s="7">
        <v>2</v>
      </c>
      <c r="F55" s="7">
        <v>9.94</v>
      </c>
      <c r="G55" s="7">
        <v>1.56</v>
      </c>
      <c r="T55"/>
    </row>
    <row r="56" spans="1:20" ht="15.5" x14ac:dyDescent="0.35">
      <c r="A56" s="7">
        <v>1</v>
      </c>
      <c r="B56" s="7">
        <v>1</v>
      </c>
      <c r="C56" s="7">
        <v>1</v>
      </c>
      <c r="D56" s="7">
        <v>1</v>
      </c>
      <c r="E56" s="7">
        <v>4</v>
      </c>
      <c r="F56" s="7">
        <v>25.56</v>
      </c>
      <c r="G56" s="7">
        <v>4.34</v>
      </c>
      <c r="T56"/>
    </row>
    <row r="57" spans="1:20" ht="15.5" x14ac:dyDescent="0.35">
      <c r="A57" s="7">
        <v>1</v>
      </c>
      <c r="B57" s="7">
        <v>1</v>
      </c>
      <c r="C57" s="7">
        <v>1</v>
      </c>
      <c r="D57" s="7">
        <v>1</v>
      </c>
      <c r="E57" s="7">
        <v>2</v>
      </c>
      <c r="F57" s="7">
        <v>19.489999999999998</v>
      </c>
      <c r="G57" s="7">
        <v>3.51</v>
      </c>
      <c r="T57"/>
    </row>
    <row r="58" spans="1:20" ht="15.5" x14ac:dyDescent="0.35">
      <c r="A58" s="7">
        <v>1</v>
      </c>
      <c r="B58" s="7">
        <v>2</v>
      </c>
      <c r="C58" s="7">
        <v>3</v>
      </c>
      <c r="D58" s="7">
        <v>1</v>
      </c>
      <c r="E58" s="7">
        <v>4</v>
      </c>
      <c r="F58" s="7">
        <v>38.01</v>
      </c>
      <c r="G58" s="7">
        <v>3</v>
      </c>
      <c r="T58"/>
    </row>
    <row r="59" spans="1:20" ht="15.5" x14ac:dyDescent="0.35">
      <c r="A59" s="7">
        <v>2</v>
      </c>
      <c r="B59" s="7">
        <v>1</v>
      </c>
      <c r="C59" s="7">
        <v>3</v>
      </c>
      <c r="D59" s="7">
        <v>1</v>
      </c>
      <c r="E59" s="7">
        <v>2</v>
      </c>
      <c r="F59" s="7">
        <v>26.41</v>
      </c>
      <c r="G59" s="7">
        <v>1.5</v>
      </c>
      <c r="T59"/>
    </row>
    <row r="60" spans="1:20" ht="15.5" x14ac:dyDescent="0.35">
      <c r="A60" s="7">
        <v>1</v>
      </c>
      <c r="B60" s="7">
        <v>2</v>
      </c>
      <c r="C60" s="7">
        <v>3</v>
      </c>
      <c r="D60" s="7">
        <v>1</v>
      </c>
      <c r="E60" s="7">
        <v>2</v>
      </c>
      <c r="F60" s="7">
        <v>11.24</v>
      </c>
      <c r="G60" s="7">
        <v>1.76</v>
      </c>
      <c r="T60"/>
    </row>
    <row r="61" spans="1:20" ht="15.5" x14ac:dyDescent="0.35">
      <c r="A61" s="7">
        <v>1</v>
      </c>
      <c r="B61" s="7">
        <v>1</v>
      </c>
      <c r="C61" s="7">
        <v>3</v>
      </c>
      <c r="D61" s="7">
        <v>1</v>
      </c>
      <c r="E61" s="7">
        <v>4</v>
      </c>
      <c r="F61" s="7">
        <v>48.27</v>
      </c>
      <c r="G61" s="7">
        <v>6.73</v>
      </c>
      <c r="T61"/>
    </row>
    <row r="62" spans="1:20" ht="15.5" x14ac:dyDescent="0.35">
      <c r="A62" s="7">
        <v>1</v>
      </c>
      <c r="B62" s="7">
        <v>2</v>
      </c>
      <c r="C62" s="7">
        <v>3</v>
      </c>
      <c r="D62" s="7">
        <v>1</v>
      </c>
      <c r="E62" s="7">
        <v>2</v>
      </c>
      <c r="F62" s="7">
        <v>20.29</v>
      </c>
      <c r="G62" s="7">
        <v>3.21</v>
      </c>
      <c r="T62"/>
    </row>
    <row r="63" spans="1:20" ht="15.5" x14ac:dyDescent="0.35">
      <c r="A63" s="7">
        <v>1</v>
      </c>
      <c r="B63" s="7">
        <v>2</v>
      </c>
      <c r="C63" s="7">
        <v>3</v>
      </c>
      <c r="D63" s="7">
        <v>1</v>
      </c>
      <c r="E63" s="7">
        <v>2</v>
      </c>
      <c r="F63" s="7">
        <v>13.81</v>
      </c>
      <c r="G63" s="7">
        <v>2</v>
      </c>
      <c r="T63"/>
    </row>
    <row r="64" spans="1:20" ht="15.5" x14ac:dyDescent="0.35">
      <c r="A64" s="7">
        <v>1</v>
      </c>
      <c r="B64" s="7">
        <v>2</v>
      </c>
      <c r="C64" s="7">
        <v>3</v>
      </c>
      <c r="D64" s="7">
        <v>1</v>
      </c>
      <c r="E64" s="7">
        <v>2</v>
      </c>
      <c r="F64" s="7">
        <v>11.02</v>
      </c>
      <c r="G64" s="7">
        <v>1.98</v>
      </c>
      <c r="T64"/>
    </row>
    <row r="65" spans="1:20" ht="15.5" x14ac:dyDescent="0.35">
      <c r="A65" s="7">
        <v>1</v>
      </c>
      <c r="B65" s="7">
        <v>2</v>
      </c>
      <c r="C65" s="7">
        <v>3</v>
      </c>
      <c r="D65" s="7">
        <v>1</v>
      </c>
      <c r="E65" s="7">
        <v>4</v>
      </c>
      <c r="F65" s="7">
        <v>18.29</v>
      </c>
      <c r="G65" s="7">
        <v>3.76</v>
      </c>
      <c r="T65"/>
    </row>
    <row r="66" spans="1:20" ht="15.5" x14ac:dyDescent="0.35">
      <c r="A66" s="7">
        <v>1</v>
      </c>
      <c r="B66" s="7">
        <v>1</v>
      </c>
      <c r="C66" s="7">
        <v>3</v>
      </c>
      <c r="D66" s="7">
        <v>1</v>
      </c>
      <c r="E66" s="7">
        <v>3</v>
      </c>
      <c r="F66" s="7">
        <v>17.59</v>
      </c>
      <c r="G66" s="7">
        <v>2.64</v>
      </c>
      <c r="T66"/>
    </row>
    <row r="67" spans="1:20" ht="15.5" x14ac:dyDescent="0.35">
      <c r="A67" s="7">
        <v>1</v>
      </c>
      <c r="B67" s="7">
        <v>1</v>
      </c>
      <c r="C67" s="7">
        <v>3</v>
      </c>
      <c r="D67" s="7">
        <v>1</v>
      </c>
      <c r="E67" s="7">
        <v>3</v>
      </c>
      <c r="F67" s="7">
        <v>20.079999999999998</v>
      </c>
      <c r="G67" s="7">
        <v>3.15</v>
      </c>
      <c r="T67"/>
    </row>
    <row r="68" spans="1:20" ht="15.5" x14ac:dyDescent="0.35">
      <c r="A68" s="7">
        <v>2</v>
      </c>
      <c r="B68" s="7">
        <v>1</v>
      </c>
      <c r="C68" s="7">
        <v>3</v>
      </c>
      <c r="D68" s="7">
        <v>1</v>
      </c>
      <c r="E68" s="7">
        <v>2</v>
      </c>
      <c r="F68" s="7">
        <v>16.45</v>
      </c>
      <c r="G68" s="7">
        <v>2.4700000000000002</v>
      </c>
      <c r="T68"/>
    </row>
    <row r="69" spans="1:20" ht="15.5" x14ac:dyDescent="0.35">
      <c r="A69" s="7">
        <v>2</v>
      </c>
      <c r="B69" s="7">
        <v>2</v>
      </c>
      <c r="C69" s="7">
        <v>3</v>
      </c>
      <c r="D69" s="7">
        <v>1</v>
      </c>
      <c r="E69" s="7">
        <v>1</v>
      </c>
      <c r="F69" s="7">
        <v>3.07</v>
      </c>
      <c r="G69" s="7">
        <v>1</v>
      </c>
      <c r="T69"/>
    </row>
    <row r="70" spans="1:20" ht="15.5" x14ac:dyDescent="0.35">
      <c r="A70" s="7">
        <v>1</v>
      </c>
      <c r="B70" s="7">
        <v>1</v>
      </c>
      <c r="C70" s="7">
        <v>3</v>
      </c>
      <c r="D70" s="7">
        <v>1</v>
      </c>
      <c r="E70" s="7">
        <v>2</v>
      </c>
      <c r="F70" s="7">
        <v>20.23</v>
      </c>
      <c r="G70" s="7">
        <v>2.0099999999999998</v>
      </c>
      <c r="T70"/>
    </row>
    <row r="71" spans="1:20" ht="15.5" x14ac:dyDescent="0.35">
      <c r="A71" s="7">
        <v>1</v>
      </c>
      <c r="B71" s="7">
        <v>2</v>
      </c>
      <c r="C71" s="7">
        <v>3</v>
      </c>
      <c r="D71" s="7">
        <v>1</v>
      </c>
      <c r="E71" s="7">
        <v>2</v>
      </c>
      <c r="F71" s="7">
        <v>15.01</v>
      </c>
      <c r="G71" s="7">
        <v>2.09</v>
      </c>
      <c r="T71"/>
    </row>
    <row r="72" spans="1:20" ht="15.5" x14ac:dyDescent="0.35">
      <c r="A72" s="7">
        <v>1</v>
      </c>
      <c r="B72" s="7">
        <v>1</v>
      </c>
      <c r="C72" s="7">
        <v>3</v>
      </c>
      <c r="D72" s="7">
        <v>1</v>
      </c>
      <c r="E72" s="7">
        <v>2</v>
      </c>
      <c r="F72" s="7">
        <v>12.02</v>
      </c>
      <c r="G72" s="7">
        <v>1.97</v>
      </c>
      <c r="T72"/>
    </row>
    <row r="73" spans="1:20" ht="15.5" x14ac:dyDescent="0.35">
      <c r="A73" s="7">
        <v>2</v>
      </c>
      <c r="B73" s="7">
        <v>1</v>
      </c>
      <c r="C73" s="7">
        <v>3</v>
      </c>
      <c r="D73" s="7">
        <v>1</v>
      </c>
      <c r="E73" s="7">
        <v>3</v>
      </c>
      <c r="F73" s="7">
        <v>17.07</v>
      </c>
      <c r="G73" s="7">
        <v>3</v>
      </c>
      <c r="T73"/>
    </row>
    <row r="74" spans="1:20" ht="15.5" x14ac:dyDescent="0.35">
      <c r="A74" s="7">
        <v>2</v>
      </c>
      <c r="B74" s="7">
        <v>2</v>
      </c>
      <c r="C74" s="7">
        <v>3</v>
      </c>
      <c r="D74" s="7">
        <v>1</v>
      </c>
      <c r="E74" s="7">
        <v>2</v>
      </c>
      <c r="F74" s="7">
        <v>26.86</v>
      </c>
      <c r="G74" s="7">
        <v>3.14</v>
      </c>
      <c r="T74"/>
    </row>
    <row r="75" spans="1:20" ht="15.5" x14ac:dyDescent="0.35">
      <c r="A75" s="7">
        <v>2</v>
      </c>
      <c r="B75" s="7">
        <v>2</v>
      </c>
      <c r="C75" s="7">
        <v>3</v>
      </c>
      <c r="D75" s="7">
        <v>1</v>
      </c>
      <c r="E75" s="7">
        <v>2</v>
      </c>
      <c r="F75" s="7">
        <v>25.28</v>
      </c>
      <c r="G75" s="7">
        <v>5</v>
      </c>
      <c r="T75"/>
    </row>
    <row r="76" spans="1:20" ht="15.5" x14ac:dyDescent="0.35">
      <c r="A76" s="7">
        <v>2</v>
      </c>
      <c r="B76" s="7">
        <v>1</v>
      </c>
      <c r="C76" s="7">
        <v>3</v>
      </c>
      <c r="D76" s="7">
        <v>1</v>
      </c>
      <c r="E76" s="7">
        <v>2</v>
      </c>
      <c r="F76" s="7">
        <v>14.73</v>
      </c>
      <c r="G76" s="7">
        <v>2.2000000000000002</v>
      </c>
      <c r="T76"/>
    </row>
    <row r="77" spans="1:20" ht="15.5" x14ac:dyDescent="0.35">
      <c r="A77" s="7">
        <v>1</v>
      </c>
      <c r="B77" s="7">
        <v>1</v>
      </c>
      <c r="C77" s="7">
        <v>3</v>
      </c>
      <c r="D77" s="7">
        <v>1</v>
      </c>
      <c r="E77" s="7">
        <v>2</v>
      </c>
      <c r="F77" s="7">
        <v>10.51</v>
      </c>
      <c r="G77" s="7">
        <v>1.25</v>
      </c>
      <c r="T77"/>
    </row>
    <row r="78" spans="1:20" ht="15.5" x14ac:dyDescent="0.35">
      <c r="A78" s="7">
        <v>1</v>
      </c>
      <c r="B78" s="7">
        <v>2</v>
      </c>
      <c r="C78" s="7">
        <v>3</v>
      </c>
      <c r="D78" s="7">
        <v>1</v>
      </c>
      <c r="E78" s="7">
        <v>2</v>
      </c>
      <c r="F78" s="7">
        <v>17.920000000000002</v>
      </c>
      <c r="G78" s="7">
        <v>3.08</v>
      </c>
      <c r="T78"/>
    </row>
    <row r="79" spans="1:20" ht="15.5" x14ac:dyDescent="0.35">
      <c r="A79" s="7">
        <v>1</v>
      </c>
      <c r="B79" s="7">
        <v>1</v>
      </c>
      <c r="C79" s="7">
        <v>4</v>
      </c>
      <c r="D79" s="7">
        <v>2</v>
      </c>
      <c r="E79" s="7">
        <v>4</v>
      </c>
      <c r="F79" s="7">
        <v>27.2</v>
      </c>
      <c r="G79" s="7">
        <v>4</v>
      </c>
      <c r="T79"/>
    </row>
    <row r="80" spans="1:20" ht="15.5" x14ac:dyDescent="0.35">
      <c r="A80" s="7">
        <v>1</v>
      </c>
      <c r="B80" s="7">
        <v>1</v>
      </c>
      <c r="C80" s="7">
        <v>4</v>
      </c>
      <c r="D80" s="7">
        <v>2</v>
      </c>
      <c r="E80" s="7">
        <v>2</v>
      </c>
      <c r="F80" s="7">
        <v>22.76</v>
      </c>
      <c r="G80" s="7">
        <v>3</v>
      </c>
      <c r="T80"/>
    </row>
    <row r="81" spans="1:20" ht="15.5" x14ac:dyDescent="0.35">
      <c r="A81" s="7">
        <v>1</v>
      </c>
      <c r="B81" s="7">
        <v>1</v>
      </c>
      <c r="C81" s="7">
        <v>4</v>
      </c>
      <c r="D81" s="7">
        <v>2</v>
      </c>
      <c r="E81" s="7">
        <v>2</v>
      </c>
      <c r="F81" s="7">
        <v>17.29</v>
      </c>
      <c r="G81" s="7">
        <v>2.71</v>
      </c>
      <c r="T81"/>
    </row>
    <row r="82" spans="1:20" ht="15.5" x14ac:dyDescent="0.35">
      <c r="A82" s="7">
        <v>1</v>
      </c>
      <c r="B82" s="7">
        <v>2</v>
      </c>
      <c r="C82" s="7">
        <v>4</v>
      </c>
      <c r="D82" s="7">
        <v>2</v>
      </c>
      <c r="E82" s="7">
        <v>2</v>
      </c>
      <c r="F82" s="7">
        <v>19.440000000000001</v>
      </c>
      <c r="G82" s="7">
        <v>3</v>
      </c>
      <c r="T82"/>
    </row>
    <row r="83" spans="1:20" ht="15.5" x14ac:dyDescent="0.35">
      <c r="A83" s="7">
        <v>1</v>
      </c>
      <c r="B83" s="7">
        <v>1</v>
      </c>
      <c r="C83" s="7">
        <v>4</v>
      </c>
      <c r="D83" s="7">
        <v>2</v>
      </c>
      <c r="E83" s="7">
        <v>2</v>
      </c>
      <c r="F83" s="7">
        <v>16.66</v>
      </c>
      <c r="G83" s="7">
        <v>3.4</v>
      </c>
      <c r="T83"/>
    </row>
    <row r="84" spans="1:20" ht="15.5" x14ac:dyDescent="0.35">
      <c r="A84" s="7">
        <v>2</v>
      </c>
      <c r="B84" s="7">
        <v>1</v>
      </c>
      <c r="C84" s="7">
        <v>4</v>
      </c>
      <c r="D84" s="7">
        <v>2</v>
      </c>
      <c r="E84" s="7">
        <v>1</v>
      </c>
      <c r="F84" s="7">
        <v>10.07</v>
      </c>
      <c r="G84" s="7">
        <v>1.83</v>
      </c>
      <c r="T84"/>
    </row>
    <row r="85" spans="1:20" ht="15.5" x14ac:dyDescent="0.35">
      <c r="A85" s="7">
        <v>1</v>
      </c>
      <c r="B85" s="7">
        <v>2</v>
      </c>
      <c r="C85" s="7">
        <v>4</v>
      </c>
      <c r="D85" s="7">
        <v>2</v>
      </c>
      <c r="E85" s="7">
        <v>2</v>
      </c>
      <c r="F85" s="7">
        <v>32.68</v>
      </c>
      <c r="G85" s="7">
        <v>5</v>
      </c>
      <c r="T85"/>
    </row>
    <row r="86" spans="1:20" ht="15.5" x14ac:dyDescent="0.35">
      <c r="A86" s="7">
        <v>1</v>
      </c>
      <c r="B86" s="7">
        <v>1</v>
      </c>
      <c r="C86" s="7">
        <v>4</v>
      </c>
      <c r="D86" s="7">
        <v>2</v>
      </c>
      <c r="E86" s="7">
        <v>2</v>
      </c>
      <c r="F86" s="7">
        <v>15.98</v>
      </c>
      <c r="G86" s="7">
        <v>2.0299999999999998</v>
      </c>
      <c r="T86"/>
    </row>
    <row r="87" spans="1:20" ht="15.5" x14ac:dyDescent="0.35">
      <c r="A87" s="7">
        <v>2</v>
      </c>
      <c r="B87" s="7">
        <v>1</v>
      </c>
      <c r="C87" s="7">
        <v>4</v>
      </c>
      <c r="D87" s="7">
        <v>2</v>
      </c>
      <c r="E87" s="7">
        <v>4</v>
      </c>
      <c r="F87" s="7">
        <v>34.83</v>
      </c>
      <c r="G87" s="7">
        <v>5.17</v>
      </c>
      <c r="T87"/>
    </row>
    <row r="88" spans="1:20" ht="15.5" x14ac:dyDescent="0.35">
      <c r="A88" s="7">
        <v>1</v>
      </c>
      <c r="B88" s="7">
        <v>1</v>
      </c>
      <c r="C88" s="7">
        <v>4</v>
      </c>
      <c r="D88" s="7">
        <v>2</v>
      </c>
      <c r="E88" s="7">
        <v>2</v>
      </c>
      <c r="F88" s="7">
        <v>13.03</v>
      </c>
      <c r="G88" s="7">
        <v>2</v>
      </c>
      <c r="T88"/>
    </row>
    <row r="89" spans="1:20" ht="15.5" x14ac:dyDescent="0.35">
      <c r="A89" s="7">
        <v>1</v>
      </c>
      <c r="B89" s="7">
        <v>1</v>
      </c>
      <c r="C89" s="7">
        <v>4</v>
      </c>
      <c r="D89" s="7">
        <v>2</v>
      </c>
      <c r="E89" s="7">
        <v>2</v>
      </c>
      <c r="F89" s="7">
        <v>18.28</v>
      </c>
      <c r="G89" s="7">
        <v>4</v>
      </c>
      <c r="T89"/>
    </row>
    <row r="90" spans="1:20" ht="15.5" x14ac:dyDescent="0.35">
      <c r="A90" s="7">
        <v>1</v>
      </c>
      <c r="B90" s="7">
        <v>1</v>
      </c>
      <c r="C90" s="7">
        <v>4</v>
      </c>
      <c r="D90" s="7">
        <v>2</v>
      </c>
      <c r="E90" s="7">
        <v>2</v>
      </c>
      <c r="F90" s="7">
        <v>24.71</v>
      </c>
      <c r="G90" s="7">
        <v>5.85</v>
      </c>
      <c r="T90"/>
    </row>
    <row r="91" spans="1:20" ht="15.5" x14ac:dyDescent="0.35">
      <c r="A91" s="7">
        <v>1</v>
      </c>
      <c r="B91" s="7">
        <v>1</v>
      </c>
      <c r="C91" s="7">
        <v>4</v>
      </c>
      <c r="D91" s="7">
        <v>2</v>
      </c>
      <c r="E91" s="7">
        <v>2</v>
      </c>
      <c r="F91" s="7">
        <v>21.16</v>
      </c>
      <c r="G91" s="7">
        <v>3</v>
      </c>
      <c r="T91"/>
    </row>
    <row r="92" spans="1:20" ht="15.5" x14ac:dyDescent="0.35">
      <c r="A92" s="7">
        <v>1</v>
      </c>
      <c r="B92" s="7">
        <v>2</v>
      </c>
      <c r="C92" s="7">
        <v>2</v>
      </c>
      <c r="D92" s="7">
        <v>1</v>
      </c>
      <c r="E92" s="7">
        <v>2</v>
      </c>
      <c r="F92" s="7">
        <v>28.97</v>
      </c>
      <c r="G92" s="7">
        <v>3</v>
      </c>
      <c r="T92"/>
    </row>
    <row r="93" spans="1:20" ht="15.5" x14ac:dyDescent="0.35">
      <c r="A93" s="7">
        <v>1</v>
      </c>
      <c r="B93" s="7">
        <v>1</v>
      </c>
      <c r="C93" s="7">
        <v>2</v>
      </c>
      <c r="D93" s="7">
        <v>1</v>
      </c>
      <c r="E93" s="7">
        <v>2</v>
      </c>
      <c r="F93" s="7">
        <v>22.49</v>
      </c>
      <c r="G93" s="7">
        <v>3.5</v>
      </c>
      <c r="T93"/>
    </row>
    <row r="94" spans="1:20" ht="15.5" x14ac:dyDescent="0.35">
      <c r="A94" s="7">
        <v>2</v>
      </c>
      <c r="B94" s="7">
        <v>2</v>
      </c>
      <c r="C94" s="7">
        <v>2</v>
      </c>
      <c r="D94" s="7">
        <v>1</v>
      </c>
      <c r="E94" s="7">
        <v>2</v>
      </c>
      <c r="F94" s="7">
        <v>5.75</v>
      </c>
      <c r="G94" s="7">
        <v>1</v>
      </c>
      <c r="T94"/>
    </row>
    <row r="95" spans="1:20" ht="15.5" x14ac:dyDescent="0.35">
      <c r="A95" s="7">
        <v>2</v>
      </c>
      <c r="B95" s="7">
        <v>2</v>
      </c>
      <c r="C95" s="7">
        <v>2</v>
      </c>
      <c r="D95" s="7">
        <v>1</v>
      </c>
      <c r="E95" s="7">
        <v>2</v>
      </c>
      <c r="F95" s="7">
        <v>16.32</v>
      </c>
      <c r="G95" s="7">
        <v>4.3</v>
      </c>
      <c r="T95"/>
    </row>
    <row r="96" spans="1:20" ht="15.5" x14ac:dyDescent="0.35">
      <c r="A96" s="7">
        <v>2</v>
      </c>
      <c r="B96" s="7">
        <v>1</v>
      </c>
      <c r="C96" s="7">
        <v>2</v>
      </c>
      <c r="D96" s="7">
        <v>1</v>
      </c>
      <c r="E96" s="7">
        <v>2</v>
      </c>
      <c r="F96" s="7">
        <v>22.75</v>
      </c>
      <c r="G96" s="7">
        <v>3.25</v>
      </c>
      <c r="T96"/>
    </row>
    <row r="97" spans="1:20" ht="15.5" x14ac:dyDescent="0.35">
      <c r="A97" s="7">
        <v>1</v>
      </c>
      <c r="B97" s="7">
        <v>2</v>
      </c>
      <c r="C97" s="7">
        <v>2</v>
      </c>
      <c r="D97" s="7">
        <v>1</v>
      </c>
      <c r="E97" s="7">
        <v>4</v>
      </c>
      <c r="F97" s="7">
        <v>40.17</v>
      </c>
      <c r="G97" s="7">
        <v>4.7300000000000004</v>
      </c>
      <c r="T97"/>
    </row>
    <row r="98" spans="1:20" ht="15.5" x14ac:dyDescent="0.35">
      <c r="A98" s="7">
        <v>1</v>
      </c>
      <c r="B98" s="7">
        <v>2</v>
      </c>
      <c r="C98" s="7">
        <v>2</v>
      </c>
      <c r="D98" s="7">
        <v>1</v>
      </c>
      <c r="E98" s="7">
        <v>2</v>
      </c>
      <c r="F98" s="7">
        <v>27.28</v>
      </c>
      <c r="G98" s="7">
        <v>4</v>
      </c>
      <c r="T98"/>
    </row>
    <row r="99" spans="1:20" ht="15.5" x14ac:dyDescent="0.35">
      <c r="A99" s="7">
        <v>1</v>
      </c>
      <c r="B99" s="7">
        <v>2</v>
      </c>
      <c r="C99" s="7">
        <v>2</v>
      </c>
      <c r="D99" s="7">
        <v>1</v>
      </c>
      <c r="E99" s="7">
        <v>2</v>
      </c>
      <c r="F99" s="7">
        <v>12.03</v>
      </c>
      <c r="G99" s="7">
        <v>1.5</v>
      </c>
      <c r="T99"/>
    </row>
    <row r="100" spans="1:20" ht="15.5" x14ac:dyDescent="0.35">
      <c r="A100" s="7">
        <v>1</v>
      </c>
      <c r="B100" s="7">
        <v>2</v>
      </c>
      <c r="C100" s="7">
        <v>2</v>
      </c>
      <c r="D100" s="7">
        <v>1</v>
      </c>
      <c r="E100" s="7">
        <v>2</v>
      </c>
      <c r="F100" s="7">
        <v>21.01</v>
      </c>
      <c r="G100" s="7">
        <v>3</v>
      </c>
      <c r="T100"/>
    </row>
    <row r="101" spans="1:20" ht="15.5" x14ac:dyDescent="0.35">
      <c r="A101" s="7">
        <v>1</v>
      </c>
      <c r="B101" s="7">
        <v>1</v>
      </c>
      <c r="C101" s="7">
        <v>2</v>
      </c>
      <c r="D101" s="7">
        <v>1</v>
      </c>
      <c r="E101" s="7">
        <v>2</v>
      </c>
      <c r="F101" s="7">
        <v>12.46</v>
      </c>
      <c r="G101" s="7">
        <v>1.5</v>
      </c>
      <c r="T101"/>
    </row>
    <row r="102" spans="1:20" ht="15.5" x14ac:dyDescent="0.35">
      <c r="A102" s="7">
        <v>2</v>
      </c>
      <c r="B102" s="7">
        <v>2</v>
      </c>
      <c r="C102" s="7">
        <v>2</v>
      </c>
      <c r="D102" s="7">
        <v>1</v>
      </c>
      <c r="E102" s="7">
        <v>2</v>
      </c>
      <c r="F102" s="7">
        <v>11.35</v>
      </c>
      <c r="G102" s="7">
        <v>2.5</v>
      </c>
      <c r="T102"/>
    </row>
    <row r="103" spans="1:20" ht="15.5" x14ac:dyDescent="0.35">
      <c r="A103" s="7">
        <v>2</v>
      </c>
      <c r="B103" s="7">
        <v>2</v>
      </c>
      <c r="C103" s="7">
        <v>2</v>
      </c>
      <c r="D103" s="7">
        <v>1</v>
      </c>
      <c r="E103" s="7">
        <v>2</v>
      </c>
      <c r="F103" s="7">
        <v>15.38</v>
      </c>
      <c r="G103" s="7">
        <v>3</v>
      </c>
      <c r="T103"/>
    </row>
    <row r="104" spans="1:20" ht="15.5" x14ac:dyDescent="0.35">
      <c r="A104" s="7">
        <v>2</v>
      </c>
      <c r="B104" s="7">
        <v>2</v>
      </c>
      <c r="C104" s="7">
        <v>3</v>
      </c>
      <c r="D104" s="7">
        <v>1</v>
      </c>
      <c r="E104" s="7">
        <v>3</v>
      </c>
      <c r="F104" s="7">
        <v>44.3</v>
      </c>
      <c r="G104" s="7">
        <v>2.5</v>
      </c>
      <c r="T104"/>
    </row>
    <row r="105" spans="1:20" ht="15.5" x14ac:dyDescent="0.35">
      <c r="A105" s="7">
        <v>2</v>
      </c>
      <c r="B105" s="7">
        <v>2</v>
      </c>
      <c r="C105" s="7">
        <v>3</v>
      </c>
      <c r="D105" s="7">
        <v>1</v>
      </c>
      <c r="E105" s="7">
        <v>2</v>
      </c>
      <c r="F105" s="7">
        <v>22.42</v>
      </c>
      <c r="G105" s="7">
        <v>3.48</v>
      </c>
      <c r="T105"/>
    </row>
    <row r="106" spans="1:20" ht="15.5" x14ac:dyDescent="0.35">
      <c r="A106" s="7">
        <v>2</v>
      </c>
      <c r="B106" s="7">
        <v>1</v>
      </c>
      <c r="C106" s="7">
        <v>3</v>
      </c>
      <c r="D106" s="7">
        <v>1</v>
      </c>
      <c r="E106" s="7">
        <v>2</v>
      </c>
      <c r="F106" s="7">
        <v>20.92</v>
      </c>
      <c r="G106" s="7">
        <v>4.08</v>
      </c>
      <c r="T106"/>
    </row>
    <row r="107" spans="1:20" ht="15.5" x14ac:dyDescent="0.35">
      <c r="A107" s="7">
        <v>1</v>
      </c>
      <c r="B107" s="7">
        <v>2</v>
      </c>
      <c r="C107" s="7">
        <v>3</v>
      </c>
      <c r="D107" s="7">
        <v>1</v>
      </c>
      <c r="E107" s="7">
        <v>2</v>
      </c>
      <c r="F107" s="7">
        <v>15.36</v>
      </c>
      <c r="G107" s="7">
        <v>1.64</v>
      </c>
      <c r="T107"/>
    </row>
    <row r="108" spans="1:20" ht="15.5" x14ac:dyDescent="0.35">
      <c r="A108" s="7">
        <v>1</v>
      </c>
      <c r="B108" s="7">
        <v>2</v>
      </c>
      <c r="C108" s="7">
        <v>3</v>
      </c>
      <c r="D108" s="7">
        <v>1</v>
      </c>
      <c r="E108" s="7">
        <v>2</v>
      </c>
      <c r="F108" s="7">
        <v>20.49</v>
      </c>
      <c r="G108" s="7">
        <v>4.0599999999999996</v>
      </c>
      <c r="T108"/>
    </row>
    <row r="109" spans="1:20" ht="15.5" x14ac:dyDescent="0.35">
      <c r="A109" s="7">
        <v>1</v>
      </c>
      <c r="B109" s="7">
        <v>2</v>
      </c>
      <c r="C109" s="7">
        <v>3</v>
      </c>
      <c r="D109" s="7">
        <v>1</v>
      </c>
      <c r="E109" s="7">
        <v>2</v>
      </c>
      <c r="F109" s="7">
        <v>25.21</v>
      </c>
      <c r="G109" s="7">
        <v>4.29</v>
      </c>
      <c r="T109"/>
    </row>
    <row r="110" spans="1:20" ht="15.5" x14ac:dyDescent="0.35">
      <c r="A110" s="7">
        <v>1</v>
      </c>
      <c r="B110" s="7">
        <v>1</v>
      </c>
      <c r="C110" s="7">
        <v>3</v>
      </c>
      <c r="D110" s="7">
        <v>1</v>
      </c>
      <c r="E110" s="7">
        <v>2</v>
      </c>
      <c r="F110" s="7">
        <v>18.239999999999998</v>
      </c>
      <c r="G110" s="7">
        <v>3.76</v>
      </c>
      <c r="T110"/>
    </row>
    <row r="111" spans="1:20" ht="15.5" x14ac:dyDescent="0.35">
      <c r="A111" s="7">
        <v>2</v>
      </c>
      <c r="B111" s="7">
        <v>2</v>
      </c>
      <c r="C111" s="7">
        <v>3</v>
      </c>
      <c r="D111" s="7">
        <v>1</v>
      </c>
      <c r="E111" s="7">
        <v>2</v>
      </c>
      <c r="F111" s="7">
        <v>14.31</v>
      </c>
      <c r="G111" s="7">
        <v>4</v>
      </c>
      <c r="T111"/>
    </row>
    <row r="112" spans="1:20" ht="15.5" x14ac:dyDescent="0.35">
      <c r="A112" s="7">
        <v>1</v>
      </c>
      <c r="B112" s="7">
        <v>1</v>
      </c>
      <c r="C112" s="7">
        <v>3</v>
      </c>
      <c r="D112" s="7">
        <v>1</v>
      </c>
      <c r="E112" s="7">
        <v>2</v>
      </c>
      <c r="F112" s="7">
        <v>14</v>
      </c>
      <c r="G112" s="7">
        <v>3</v>
      </c>
      <c r="T112"/>
    </row>
    <row r="113" spans="1:20" ht="15.5" x14ac:dyDescent="0.35">
      <c r="A113" s="7">
        <v>2</v>
      </c>
      <c r="B113" s="7">
        <v>1</v>
      </c>
      <c r="C113" s="7">
        <v>3</v>
      </c>
      <c r="D113" s="7">
        <v>1</v>
      </c>
      <c r="E113" s="7">
        <v>1</v>
      </c>
      <c r="F113" s="7">
        <v>7.25</v>
      </c>
      <c r="G113" s="7">
        <v>1</v>
      </c>
      <c r="T113"/>
    </row>
    <row r="114" spans="1:20" ht="15.5" x14ac:dyDescent="0.35">
      <c r="A114" s="7">
        <v>1</v>
      </c>
      <c r="B114" s="7">
        <v>1</v>
      </c>
      <c r="C114" s="7">
        <v>1</v>
      </c>
      <c r="D114" s="7">
        <v>1</v>
      </c>
      <c r="E114" s="7">
        <v>3</v>
      </c>
      <c r="F114" s="7">
        <v>38.07</v>
      </c>
      <c r="G114" s="7">
        <v>4</v>
      </c>
      <c r="T114"/>
    </row>
    <row r="115" spans="1:20" ht="15.5" x14ac:dyDescent="0.35">
      <c r="A115" s="7">
        <v>1</v>
      </c>
      <c r="B115" s="7">
        <v>1</v>
      </c>
      <c r="C115" s="7">
        <v>1</v>
      </c>
      <c r="D115" s="7">
        <v>1</v>
      </c>
      <c r="E115" s="7">
        <v>2</v>
      </c>
      <c r="F115" s="7">
        <v>23.95</v>
      </c>
      <c r="G115" s="7">
        <v>2.5499999999999998</v>
      </c>
      <c r="T115"/>
    </row>
    <row r="116" spans="1:20" ht="15.5" x14ac:dyDescent="0.35">
      <c r="A116" s="7">
        <v>2</v>
      </c>
      <c r="B116" s="7">
        <v>1</v>
      </c>
      <c r="C116" s="7">
        <v>1</v>
      </c>
      <c r="D116" s="7">
        <v>1</v>
      </c>
      <c r="E116" s="7">
        <v>3</v>
      </c>
      <c r="F116" s="7">
        <v>25.71</v>
      </c>
      <c r="G116" s="7">
        <v>4</v>
      </c>
      <c r="T116"/>
    </row>
    <row r="117" spans="1:20" ht="15.5" x14ac:dyDescent="0.35">
      <c r="A117" s="7">
        <v>2</v>
      </c>
      <c r="B117" s="7">
        <v>1</v>
      </c>
      <c r="C117" s="7">
        <v>1</v>
      </c>
      <c r="D117" s="7">
        <v>1</v>
      </c>
      <c r="E117" s="7">
        <v>2</v>
      </c>
      <c r="F117" s="7">
        <v>17.309999999999999</v>
      </c>
      <c r="G117" s="7">
        <v>3.5</v>
      </c>
      <c r="T117"/>
    </row>
    <row r="118" spans="1:20" ht="15.5" x14ac:dyDescent="0.35">
      <c r="A118" s="7">
        <v>1</v>
      </c>
      <c r="B118" s="7">
        <v>1</v>
      </c>
      <c r="C118" s="7">
        <v>1</v>
      </c>
      <c r="D118" s="7">
        <v>1</v>
      </c>
      <c r="E118" s="7">
        <v>4</v>
      </c>
      <c r="F118" s="7">
        <v>29.93</v>
      </c>
      <c r="G118" s="7">
        <v>5.07</v>
      </c>
      <c r="T118"/>
    </row>
    <row r="119" spans="1:20" ht="15.5" x14ac:dyDescent="0.35">
      <c r="A119" s="7">
        <v>2</v>
      </c>
      <c r="B119" s="7">
        <v>1</v>
      </c>
      <c r="C119" s="7">
        <v>4</v>
      </c>
      <c r="D119" s="7">
        <v>2</v>
      </c>
      <c r="E119" s="7">
        <v>2</v>
      </c>
      <c r="F119" s="7">
        <v>10.65</v>
      </c>
      <c r="G119" s="7">
        <v>1.5</v>
      </c>
      <c r="T119"/>
    </row>
    <row r="120" spans="1:20" ht="15.5" x14ac:dyDescent="0.35">
      <c r="A120" s="7">
        <v>2</v>
      </c>
      <c r="B120" s="7">
        <v>1</v>
      </c>
      <c r="C120" s="7">
        <v>4</v>
      </c>
      <c r="D120" s="7">
        <v>2</v>
      </c>
      <c r="E120" s="7">
        <v>2</v>
      </c>
      <c r="F120" s="7">
        <v>12.43</v>
      </c>
      <c r="G120" s="7">
        <v>1.8</v>
      </c>
      <c r="T120"/>
    </row>
    <row r="121" spans="1:20" ht="15.5" x14ac:dyDescent="0.35">
      <c r="A121" s="7">
        <v>2</v>
      </c>
      <c r="B121" s="7">
        <v>1</v>
      </c>
      <c r="C121" s="7">
        <v>4</v>
      </c>
      <c r="D121" s="7">
        <v>2</v>
      </c>
      <c r="E121" s="7">
        <v>4</v>
      </c>
      <c r="F121" s="7">
        <v>24.08</v>
      </c>
      <c r="G121" s="7">
        <v>2.92</v>
      </c>
      <c r="T121"/>
    </row>
    <row r="122" spans="1:20" ht="15.5" x14ac:dyDescent="0.35">
      <c r="A122" s="7">
        <v>1</v>
      </c>
      <c r="B122" s="7">
        <v>1</v>
      </c>
      <c r="C122" s="7">
        <v>4</v>
      </c>
      <c r="D122" s="7">
        <v>2</v>
      </c>
      <c r="E122" s="7">
        <v>2</v>
      </c>
      <c r="F122" s="7">
        <v>11.69</v>
      </c>
      <c r="G122" s="7">
        <v>2.31</v>
      </c>
      <c r="T122"/>
    </row>
    <row r="123" spans="1:20" ht="15.5" x14ac:dyDescent="0.35">
      <c r="A123" s="7">
        <v>2</v>
      </c>
      <c r="B123" s="7">
        <v>1</v>
      </c>
      <c r="C123" s="7">
        <v>4</v>
      </c>
      <c r="D123" s="7">
        <v>2</v>
      </c>
      <c r="E123" s="7">
        <v>2</v>
      </c>
      <c r="F123" s="7">
        <v>13.42</v>
      </c>
      <c r="G123" s="7">
        <v>1.68</v>
      </c>
      <c r="T123"/>
    </row>
    <row r="124" spans="1:20" ht="15.5" x14ac:dyDescent="0.35">
      <c r="A124" s="7">
        <v>1</v>
      </c>
      <c r="B124" s="7">
        <v>1</v>
      </c>
      <c r="C124" s="7">
        <v>4</v>
      </c>
      <c r="D124" s="7">
        <v>2</v>
      </c>
      <c r="E124" s="7">
        <v>2</v>
      </c>
      <c r="F124" s="7">
        <v>14.26</v>
      </c>
      <c r="G124" s="7">
        <v>2.5</v>
      </c>
      <c r="T124"/>
    </row>
    <row r="125" spans="1:20" ht="15.5" x14ac:dyDescent="0.35">
      <c r="A125" s="7">
        <v>1</v>
      </c>
      <c r="B125" s="7">
        <v>1</v>
      </c>
      <c r="C125" s="7">
        <v>4</v>
      </c>
      <c r="D125" s="7">
        <v>2</v>
      </c>
      <c r="E125" s="7">
        <v>2</v>
      </c>
      <c r="F125" s="7">
        <v>15.95</v>
      </c>
      <c r="G125" s="7">
        <v>2</v>
      </c>
      <c r="T125"/>
    </row>
    <row r="126" spans="1:20" ht="15.5" x14ac:dyDescent="0.35">
      <c r="A126" s="7">
        <v>2</v>
      </c>
      <c r="B126" s="7">
        <v>1</v>
      </c>
      <c r="C126" s="7">
        <v>4</v>
      </c>
      <c r="D126" s="7">
        <v>2</v>
      </c>
      <c r="E126" s="7">
        <v>2</v>
      </c>
      <c r="F126" s="7">
        <v>12.48</v>
      </c>
      <c r="G126" s="7">
        <v>2.52</v>
      </c>
      <c r="T126"/>
    </row>
    <row r="127" spans="1:20" ht="15.5" x14ac:dyDescent="0.35">
      <c r="A127" s="7">
        <v>2</v>
      </c>
      <c r="B127" s="7">
        <v>1</v>
      </c>
      <c r="C127" s="7">
        <v>4</v>
      </c>
      <c r="D127" s="7">
        <v>2</v>
      </c>
      <c r="E127" s="7">
        <v>6</v>
      </c>
      <c r="F127" s="7">
        <v>29.8</v>
      </c>
      <c r="G127" s="7">
        <v>4.2</v>
      </c>
      <c r="T127"/>
    </row>
    <row r="128" spans="1:20" ht="15.5" x14ac:dyDescent="0.35">
      <c r="A128" s="7">
        <v>1</v>
      </c>
      <c r="B128" s="7">
        <v>1</v>
      </c>
      <c r="C128" s="7">
        <v>4</v>
      </c>
      <c r="D128" s="7">
        <v>2</v>
      </c>
      <c r="E128" s="7">
        <v>2</v>
      </c>
      <c r="F128" s="7">
        <v>8.52</v>
      </c>
      <c r="G128" s="7">
        <v>1.48</v>
      </c>
      <c r="T128"/>
    </row>
    <row r="129" spans="1:20" ht="15.5" x14ac:dyDescent="0.35">
      <c r="A129" s="7">
        <v>2</v>
      </c>
      <c r="B129" s="7">
        <v>1</v>
      </c>
      <c r="C129" s="7">
        <v>4</v>
      </c>
      <c r="D129" s="7">
        <v>2</v>
      </c>
      <c r="E129" s="7">
        <v>2</v>
      </c>
      <c r="F129" s="7">
        <v>14.52</v>
      </c>
      <c r="G129" s="7">
        <v>2</v>
      </c>
      <c r="T129"/>
    </row>
    <row r="130" spans="1:20" ht="15.5" x14ac:dyDescent="0.35">
      <c r="A130" s="7">
        <v>2</v>
      </c>
      <c r="B130" s="7">
        <v>1</v>
      </c>
      <c r="C130" s="7">
        <v>4</v>
      </c>
      <c r="D130" s="7">
        <v>2</v>
      </c>
      <c r="E130" s="7">
        <v>2</v>
      </c>
      <c r="F130" s="7">
        <v>11.38</v>
      </c>
      <c r="G130" s="7">
        <v>2</v>
      </c>
      <c r="T130"/>
    </row>
    <row r="131" spans="1:20" ht="15.5" x14ac:dyDescent="0.35">
      <c r="A131" s="7">
        <v>1</v>
      </c>
      <c r="B131" s="7">
        <v>1</v>
      </c>
      <c r="C131" s="7">
        <v>4</v>
      </c>
      <c r="D131" s="7">
        <v>2</v>
      </c>
      <c r="E131" s="7">
        <v>3</v>
      </c>
      <c r="F131" s="7">
        <v>22.82</v>
      </c>
      <c r="G131" s="7">
        <v>2.1800000000000002</v>
      </c>
      <c r="T131"/>
    </row>
    <row r="132" spans="1:20" ht="15.5" x14ac:dyDescent="0.35">
      <c r="A132" s="7">
        <v>1</v>
      </c>
      <c r="B132" s="7">
        <v>1</v>
      </c>
      <c r="C132" s="7">
        <v>4</v>
      </c>
      <c r="D132" s="7">
        <v>2</v>
      </c>
      <c r="E132" s="7">
        <v>2</v>
      </c>
      <c r="F132" s="7">
        <v>19.079999999999998</v>
      </c>
      <c r="G132" s="7">
        <v>1.5</v>
      </c>
      <c r="T132"/>
    </row>
    <row r="133" spans="1:20" ht="15.5" x14ac:dyDescent="0.35">
      <c r="A133" s="7">
        <v>2</v>
      </c>
      <c r="B133" s="7">
        <v>1</v>
      </c>
      <c r="C133" s="7">
        <v>4</v>
      </c>
      <c r="D133" s="7">
        <v>2</v>
      </c>
      <c r="E133" s="7">
        <v>2</v>
      </c>
      <c r="F133" s="7">
        <v>20.27</v>
      </c>
      <c r="G133" s="7">
        <v>2.83</v>
      </c>
      <c r="T133"/>
    </row>
    <row r="134" spans="1:20" ht="15.5" x14ac:dyDescent="0.35">
      <c r="A134" s="7">
        <v>2</v>
      </c>
      <c r="B134" s="7">
        <v>1</v>
      </c>
      <c r="C134" s="7">
        <v>4</v>
      </c>
      <c r="D134" s="7">
        <v>2</v>
      </c>
      <c r="E134" s="7">
        <v>2</v>
      </c>
      <c r="F134" s="7">
        <v>11.17</v>
      </c>
      <c r="G134" s="7">
        <v>1.5</v>
      </c>
      <c r="T134"/>
    </row>
    <row r="135" spans="1:20" ht="15.5" x14ac:dyDescent="0.35">
      <c r="A135" s="7">
        <v>2</v>
      </c>
      <c r="B135" s="7">
        <v>1</v>
      </c>
      <c r="C135" s="7">
        <v>4</v>
      </c>
      <c r="D135" s="7">
        <v>2</v>
      </c>
      <c r="E135" s="7">
        <v>2</v>
      </c>
      <c r="F135" s="7">
        <v>12.26</v>
      </c>
      <c r="G135" s="7">
        <v>2</v>
      </c>
      <c r="T135"/>
    </row>
    <row r="136" spans="1:20" ht="15.5" x14ac:dyDescent="0.35">
      <c r="A136" s="7">
        <v>2</v>
      </c>
      <c r="B136" s="7">
        <v>1</v>
      </c>
      <c r="C136" s="7">
        <v>4</v>
      </c>
      <c r="D136" s="7">
        <v>2</v>
      </c>
      <c r="E136" s="7">
        <v>2</v>
      </c>
      <c r="F136" s="7">
        <v>18.260000000000002</v>
      </c>
      <c r="G136" s="7">
        <v>3.25</v>
      </c>
      <c r="T136"/>
    </row>
    <row r="137" spans="1:20" ht="15.5" x14ac:dyDescent="0.35">
      <c r="A137" s="7">
        <v>2</v>
      </c>
      <c r="B137" s="7">
        <v>1</v>
      </c>
      <c r="C137" s="7">
        <v>4</v>
      </c>
      <c r="D137" s="7">
        <v>2</v>
      </c>
      <c r="E137" s="7">
        <v>2</v>
      </c>
      <c r="F137" s="7">
        <v>8.51</v>
      </c>
      <c r="G137" s="7">
        <v>1.25</v>
      </c>
      <c r="T137"/>
    </row>
    <row r="138" spans="1:20" ht="15.5" x14ac:dyDescent="0.35">
      <c r="A138" s="7">
        <v>2</v>
      </c>
      <c r="B138" s="7">
        <v>1</v>
      </c>
      <c r="C138" s="7">
        <v>4</v>
      </c>
      <c r="D138" s="7">
        <v>2</v>
      </c>
      <c r="E138" s="7">
        <v>2</v>
      </c>
      <c r="F138" s="7">
        <v>10.33</v>
      </c>
      <c r="G138" s="7">
        <v>2</v>
      </c>
      <c r="T138"/>
    </row>
    <row r="139" spans="1:20" ht="15.5" x14ac:dyDescent="0.35">
      <c r="A139" s="7">
        <v>2</v>
      </c>
      <c r="B139" s="7">
        <v>1</v>
      </c>
      <c r="C139" s="7">
        <v>4</v>
      </c>
      <c r="D139" s="7">
        <v>2</v>
      </c>
      <c r="E139" s="7">
        <v>2</v>
      </c>
      <c r="F139" s="7">
        <v>14.15</v>
      </c>
      <c r="G139" s="7">
        <v>2</v>
      </c>
      <c r="T139"/>
    </row>
    <row r="140" spans="1:20" ht="15.5" x14ac:dyDescent="0.35">
      <c r="A140" s="7">
        <v>1</v>
      </c>
      <c r="B140" s="7">
        <v>2</v>
      </c>
      <c r="C140" s="7">
        <v>4</v>
      </c>
      <c r="D140" s="7">
        <v>2</v>
      </c>
      <c r="E140" s="7">
        <v>2</v>
      </c>
      <c r="F140" s="7">
        <v>16</v>
      </c>
      <c r="G140" s="7">
        <v>2</v>
      </c>
      <c r="T140"/>
    </row>
    <row r="141" spans="1:20" ht="15.5" x14ac:dyDescent="0.35">
      <c r="A141" s="7">
        <v>2</v>
      </c>
      <c r="B141" s="7">
        <v>1</v>
      </c>
      <c r="C141" s="7">
        <v>4</v>
      </c>
      <c r="D141" s="7">
        <v>2</v>
      </c>
      <c r="E141" s="7">
        <v>2</v>
      </c>
      <c r="F141" s="7">
        <v>13.16</v>
      </c>
      <c r="G141" s="7">
        <v>2.75</v>
      </c>
      <c r="T141"/>
    </row>
    <row r="142" spans="1:20" ht="15.5" x14ac:dyDescent="0.35">
      <c r="A142" s="7">
        <v>2</v>
      </c>
      <c r="B142" s="7">
        <v>1</v>
      </c>
      <c r="C142" s="7">
        <v>4</v>
      </c>
      <c r="D142" s="7">
        <v>2</v>
      </c>
      <c r="E142" s="7">
        <v>2</v>
      </c>
      <c r="F142" s="7">
        <v>17.47</v>
      </c>
      <c r="G142" s="7">
        <v>3.5</v>
      </c>
      <c r="T142"/>
    </row>
    <row r="143" spans="1:20" ht="15.5" x14ac:dyDescent="0.35">
      <c r="A143" s="7">
        <v>1</v>
      </c>
      <c r="B143" s="7">
        <v>1</v>
      </c>
      <c r="C143" s="7">
        <v>4</v>
      </c>
      <c r="D143" s="7">
        <v>2</v>
      </c>
      <c r="E143" s="7">
        <v>6</v>
      </c>
      <c r="F143" s="7">
        <v>34.299999999999997</v>
      </c>
      <c r="G143" s="7">
        <v>6.7</v>
      </c>
      <c r="T143"/>
    </row>
    <row r="144" spans="1:20" ht="15.5" x14ac:dyDescent="0.35">
      <c r="A144" s="7">
        <v>1</v>
      </c>
      <c r="B144" s="7">
        <v>1</v>
      </c>
      <c r="C144" s="7">
        <v>4</v>
      </c>
      <c r="D144" s="7">
        <v>2</v>
      </c>
      <c r="E144" s="7">
        <v>5</v>
      </c>
      <c r="F144" s="7">
        <v>41.19</v>
      </c>
      <c r="G144" s="7">
        <v>5</v>
      </c>
      <c r="T144"/>
    </row>
    <row r="145" spans="1:20" ht="15.5" x14ac:dyDescent="0.35">
      <c r="A145" s="7">
        <v>2</v>
      </c>
      <c r="B145" s="7">
        <v>1</v>
      </c>
      <c r="C145" s="7">
        <v>4</v>
      </c>
      <c r="D145" s="7">
        <v>2</v>
      </c>
      <c r="E145" s="7">
        <v>6</v>
      </c>
      <c r="F145" s="7">
        <v>27.05</v>
      </c>
      <c r="G145" s="7">
        <v>5</v>
      </c>
      <c r="T145"/>
    </row>
    <row r="146" spans="1:20" ht="15.5" x14ac:dyDescent="0.35">
      <c r="A146" s="7">
        <v>2</v>
      </c>
      <c r="B146" s="7">
        <v>1</v>
      </c>
      <c r="C146" s="7">
        <v>4</v>
      </c>
      <c r="D146" s="7">
        <v>2</v>
      </c>
      <c r="E146" s="7">
        <v>2</v>
      </c>
      <c r="F146" s="7">
        <v>16.43</v>
      </c>
      <c r="G146" s="7">
        <v>2.2999999999999998</v>
      </c>
      <c r="T146"/>
    </row>
    <row r="147" spans="1:20" ht="15.5" x14ac:dyDescent="0.35">
      <c r="A147" s="7">
        <v>2</v>
      </c>
      <c r="B147" s="7">
        <v>1</v>
      </c>
      <c r="C147" s="7">
        <v>4</v>
      </c>
      <c r="D147" s="7">
        <v>2</v>
      </c>
      <c r="E147" s="7">
        <v>2</v>
      </c>
      <c r="F147" s="7">
        <v>8.35</v>
      </c>
      <c r="G147" s="7">
        <v>1.5</v>
      </c>
      <c r="T147"/>
    </row>
    <row r="148" spans="1:20" ht="15.5" x14ac:dyDescent="0.35">
      <c r="A148" s="7">
        <v>2</v>
      </c>
      <c r="B148" s="7">
        <v>1</v>
      </c>
      <c r="C148" s="7">
        <v>4</v>
      </c>
      <c r="D148" s="7">
        <v>2</v>
      </c>
      <c r="E148" s="7">
        <v>3</v>
      </c>
      <c r="F148" s="7">
        <v>18.64</v>
      </c>
      <c r="G148" s="7">
        <v>1.36</v>
      </c>
      <c r="T148"/>
    </row>
    <row r="149" spans="1:20" ht="15.5" x14ac:dyDescent="0.35">
      <c r="A149" s="7">
        <v>2</v>
      </c>
      <c r="B149" s="7">
        <v>1</v>
      </c>
      <c r="C149" s="7">
        <v>4</v>
      </c>
      <c r="D149" s="7">
        <v>2</v>
      </c>
      <c r="E149" s="7">
        <v>2</v>
      </c>
      <c r="F149" s="7">
        <v>11.87</v>
      </c>
      <c r="G149" s="7">
        <v>1.63</v>
      </c>
      <c r="T149"/>
    </row>
    <row r="150" spans="1:20" ht="15.5" x14ac:dyDescent="0.35">
      <c r="A150" s="7">
        <v>1</v>
      </c>
      <c r="B150" s="7">
        <v>1</v>
      </c>
      <c r="C150" s="7">
        <v>4</v>
      </c>
      <c r="D150" s="7">
        <v>2</v>
      </c>
      <c r="E150" s="7">
        <v>2</v>
      </c>
      <c r="F150" s="7">
        <v>9.7799999999999994</v>
      </c>
      <c r="G150" s="7">
        <v>1.73</v>
      </c>
      <c r="T150"/>
    </row>
    <row r="151" spans="1:20" ht="15.5" x14ac:dyDescent="0.35">
      <c r="A151" s="7">
        <v>1</v>
      </c>
      <c r="B151" s="7">
        <v>1</v>
      </c>
      <c r="C151" s="7">
        <v>4</v>
      </c>
      <c r="D151" s="7">
        <v>2</v>
      </c>
      <c r="E151" s="7">
        <v>2</v>
      </c>
      <c r="F151" s="7">
        <v>7.51</v>
      </c>
      <c r="G151" s="7">
        <v>2</v>
      </c>
      <c r="T151"/>
    </row>
    <row r="152" spans="1:20" ht="15.5" x14ac:dyDescent="0.35">
      <c r="A152" s="7">
        <v>1</v>
      </c>
      <c r="B152" s="7">
        <v>1</v>
      </c>
      <c r="C152" s="7">
        <v>1</v>
      </c>
      <c r="D152" s="7">
        <v>1</v>
      </c>
      <c r="E152" s="7">
        <v>2</v>
      </c>
      <c r="F152" s="7">
        <v>14.07</v>
      </c>
      <c r="G152" s="7">
        <v>2.5</v>
      </c>
      <c r="T152"/>
    </row>
    <row r="153" spans="1:20" ht="15.5" x14ac:dyDescent="0.35">
      <c r="A153" s="7">
        <v>1</v>
      </c>
      <c r="B153" s="7">
        <v>1</v>
      </c>
      <c r="C153" s="7">
        <v>1</v>
      </c>
      <c r="D153" s="7">
        <v>1</v>
      </c>
      <c r="E153" s="7">
        <v>2</v>
      </c>
      <c r="F153" s="7">
        <v>13.13</v>
      </c>
      <c r="G153" s="7">
        <v>2</v>
      </c>
      <c r="T153"/>
    </row>
    <row r="154" spans="1:20" ht="15.5" x14ac:dyDescent="0.35">
      <c r="A154" s="7">
        <v>1</v>
      </c>
      <c r="B154" s="7">
        <v>1</v>
      </c>
      <c r="C154" s="7">
        <v>1</v>
      </c>
      <c r="D154" s="7">
        <v>1</v>
      </c>
      <c r="E154" s="7">
        <v>3</v>
      </c>
      <c r="F154" s="7">
        <v>17.260000000000002</v>
      </c>
      <c r="G154" s="7">
        <v>2.74</v>
      </c>
      <c r="T154"/>
    </row>
    <row r="155" spans="1:20" ht="15.5" x14ac:dyDescent="0.35">
      <c r="A155" s="7">
        <v>1</v>
      </c>
      <c r="B155" s="7">
        <v>1</v>
      </c>
      <c r="C155" s="7">
        <v>1</v>
      </c>
      <c r="D155" s="7">
        <v>1</v>
      </c>
      <c r="E155" s="7">
        <v>4</v>
      </c>
      <c r="F155" s="7">
        <v>24.55</v>
      </c>
      <c r="G155" s="7">
        <v>2</v>
      </c>
      <c r="T155"/>
    </row>
    <row r="156" spans="1:20" ht="15.5" x14ac:dyDescent="0.35">
      <c r="A156" s="7">
        <v>1</v>
      </c>
      <c r="B156" s="7">
        <v>1</v>
      </c>
      <c r="C156" s="7">
        <v>1</v>
      </c>
      <c r="D156" s="7">
        <v>1</v>
      </c>
      <c r="E156" s="7">
        <v>4</v>
      </c>
      <c r="F156" s="7">
        <v>19.77</v>
      </c>
      <c r="G156" s="7">
        <v>2</v>
      </c>
      <c r="T156"/>
    </row>
    <row r="157" spans="1:20" ht="15.5" x14ac:dyDescent="0.35">
      <c r="A157" s="7">
        <v>2</v>
      </c>
      <c r="B157" s="7">
        <v>1</v>
      </c>
      <c r="C157" s="7">
        <v>1</v>
      </c>
      <c r="D157" s="7">
        <v>1</v>
      </c>
      <c r="E157" s="7">
        <v>5</v>
      </c>
      <c r="F157" s="7">
        <v>29.85</v>
      </c>
      <c r="G157" s="7">
        <v>5.14</v>
      </c>
      <c r="T157"/>
    </row>
    <row r="158" spans="1:20" ht="15.5" x14ac:dyDescent="0.35">
      <c r="A158" s="7">
        <v>1</v>
      </c>
      <c r="B158" s="7">
        <v>1</v>
      </c>
      <c r="C158" s="7">
        <v>1</v>
      </c>
      <c r="D158" s="7">
        <v>1</v>
      </c>
      <c r="E158" s="7">
        <v>6</v>
      </c>
      <c r="F158" s="7">
        <v>48.17</v>
      </c>
      <c r="G158" s="7">
        <v>5</v>
      </c>
      <c r="T158"/>
    </row>
    <row r="159" spans="1:20" ht="15.5" x14ac:dyDescent="0.35">
      <c r="A159" s="7">
        <v>2</v>
      </c>
      <c r="B159" s="7">
        <v>1</v>
      </c>
      <c r="C159" s="7">
        <v>1</v>
      </c>
      <c r="D159" s="7">
        <v>1</v>
      </c>
      <c r="E159" s="7">
        <v>4</v>
      </c>
      <c r="F159" s="7">
        <v>25</v>
      </c>
      <c r="G159" s="7">
        <v>3.75</v>
      </c>
      <c r="T159"/>
    </row>
    <row r="160" spans="1:20" ht="15.5" x14ac:dyDescent="0.35">
      <c r="A160" s="7">
        <v>2</v>
      </c>
      <c r="B160" s="7">
        <v>1</v>
      </c>
      <c r="C160" s="7">
        <v>1</v>
      </c>
      <c r="D160" s="7">
        <v>1</v>
      </c>
      <c r="E160" s="7">
        <v>2</v>
      </c>
      <c r="F160" s="7">
        <v>13.39</v>
      </c>
      <c r="G160" s="7">
        <v>2.61</v>
      </c>
      <c r="T160"/>
    </row>
    <row r="161" spans="1:20" ht="15.5" x14ac:dyDescent="0.35">
      <c r="A161" s="7">
        <v>1</v>
      </c>
      <c r="B161" s="7">
        <v>1</v>
      </c>
      <c r="C161" s="7">
        <v>1</v>
      </c>
      <c r="D161" s="7">
        <v>1</v>
      </c>
      <c r="E161" s="7">
        <v>4</v>
      </c>
      <c r="F161" s="7">
        <v>16.489999999999998</v>
      </c>
      <c r="G161" s="7">
        <v>2</v>
      </c>
      <c r="T161"/>
    </row>
    <row r="162" spans="1:20" ht="15.5" x14ac:dyDescent="0.35">
      <c r="A162" s="7">
        <v>1</v>
      </c>
      <c r="B162" s="7">
        <v>1</v>
      </c>
      <c r="C162" s="7">
        <v>1</v>
      </c>
      <c r="D162" s="7">
        <v>1</v>
      </c>
      <c r="E162" s="7">
        <v>4</v>
      </c>
      <c r="F162" s="7">
        <v>21.5</v>
      </c>
      <c r="G162" s="7">
        <v>3.5</v>
      </c>
      <c r="T162"/>
    </row>
    <row r="163" spans="1:20" ht="15.5" x14ac:dyDescent="0.35">
      <c r="A163" s="7">
        <v>1</v>
      </c>
      <c r="B163" s="7">
        <v>1</v>
      </c>
      <c r="C163" s="7">
        <v>1</v>
      </c>
      <c r="D163" s="7">
        <v>1</v>
      </c>
      <c r="E163" s="7">
        <v>2</v>
      </c>
      <c r="F163" s="7">
        <v>12.66</v>
      </c>
      <c r="G163" s="7">
        <v>2.5</v>
      </c>
      <c r="T163"/>
    </row>
    <row r="164" spans="1:20" ht="15.5" x14ac:dyDescent="0.35">
      <c r="A164" s="7">
        <v>2</v>
      </c>
      <c r="B164" s="7">
        <v>1</v>
      </c>
      <c r="C164" s="7">
        <v>1</v>
      </c>
      <c r="D164" s="7">
        <v>1</v>
      </c>
      <c r="E164" s="7">
        <v>3</v>
      </c>
      <c r="F164" s="7">
        <v>16.21</v>
      </c>
      <c r="G164" s="7">
        <v>2</v>
      </c>
      <c r="T164"/>
    </row>
    <row r="165" spans="1:20" ht="15.5" x14ac:dyDescent="0.35">
      <c r="A165" s="7">
        <v>1</v>
      </c>
      <c r="B165" s="7">
        <v>1</v>
      </c>
      <c r="C165" s="7">
        <v>1</v>
      </c>
      <c r="D165" s="7">
        <v>1</v>
      </c>
      <c r="E165" s="7">
        <v>2</v>
      </c>
      <c r="F165" s="7">
        <v>13.81</v>
      </c>
      <c r="G165" s="7">
        <v>2</v>
      </c>
      <c r="T165"/>
    </row>
    <row r="166" spans="1:20" ht="15.5" x14ac:dyDescent="0.35">
      <c r="A166" s="7">
        <v>2</v>
      </c>
      <c r="B166" s="7">
        <v>2</v>
      </c>
      <c r="C166" s="7">
        <v>1</v>
      </c>
      <c r="D166" s="7">
        <v>1</v>
      </c>
      <c r="E166" s="7">
        <v>2</v>
      </c>
      <c r="F166" s="7">
        <v>17.510000000000002</v>
      </c>
      <c r="G166" s="7">
        <v>3</v>
      </c>
      <c r="T166"/>
    </row>
    <row r="167" spans="1:20" ht="15.5" x14ac:dyDescent="0.35">
      <c r="A167" s="7">
        <v>1</v>
      </c>
      <c r="B167" s="7">
        <v>1</v>
      </c>
      <c r="C167" s="7">
        <v>1</v>
      </c>
      <c r="D167" s="7">
        <v>1</v>
      </c>
      <c r="E167" s="7">
        <v>3</v>
      </c>
      <c r="F167" s="7">
        <v>24.52</v>
      </c>
      <c r="G167" s="7">
        <v>3.48</v>
      </c>
      <c r="T167"/>
    </row>
    <row r="168" spans="1:20" ht="15.5" x14ac:dyDescent="0.35">
      <c r="A168" s="7">
        <v>1</v>
      </c>
      <c r="B168" s="7">
        <v>1</v>
      </c>
      <c r="C168" s="7">
        <v>1</v>
      </c>
      <c r="D168" s="7">
        <v>1</v>
      </c>
      <c r="E168" s="7">
        <v>2</v>
      </c>
      <c r="F168" s="7">
        <v>20.76</v>
      </c>
      <c r="G168" s="7">
        <v>2.2400000000000002</v>
      </c>
      <c r="T168"/>
    </row>
    <row r="169" spans="1:20" ht="15.5" x14ac:dyDescent="0.35">
      <c r="A169" s="7">
        <v>1</v>
      </c>
      <c r="B169" s="7">
        <v>1</v>
      </c>
      <c r="C169" s="7">
        <v>1</v>
      </c>
      <c r="D169" s="7">
        <v>1</v>
      </c>
      <c r="E169" s="7">
        <v>4</v>
      </c>
      <c r="F169" s="7">
        <v>31.71</v>
      </c>
      <c r="G169" s="7">
        <v>4.5</v>
      </c>
      <c r="T169"/>
    </row>
    <row r="170" spans="1:20" ht="15.5" x14ac:dyDescent="0.35">
      <c r="A170" s="7">
        <v>2</v>
      </c>
      <c r="B170" s="7">
        <v>2</v>
      </c>
      <c r="C170" s="7">
        <v>3</v>
      </c>
      <c r="D170" s="7">
        <v>1</v>
      </c>
      <c r="E170" s="7">
        <v>2</v>
      </c>
      <c r="F170" s="7">
        <v>10.59</v>
      </c>
      <c r="G170" s="7">
        <v>1.61</v>
      </c>
      <c r="T170"/>
    </row>
    <row r="171" spans="1:20" ht="15.5" x14ac:dyDescent="0.35">
      <c r="A171" s="7">
        <v>2</v>
      </c>
      <c r="B171" s="7">
        <v>2</v>
      </c>
      <c r="C171" s="7">
        <v>3</v>
      </c>
      <c r="D171" s="7">
        <v>1</v>
      </c>
      <c r="E171" s="7">
        <v>2</v>
      </c>
      <c r="F171" s="7">
        <v>10.63</v>
      </c>
      <c r="G171" s="7">
        <v>2</v>
      </c>
      <c r="T171"/>
    </row>
    <row r="172" spans="1:20" ht="15.5" x14ac:dyDescent="0.35">
      <c r="A172" s="7">
        <v>1</v>
      </c>
      <c r="B172" s="7">
        <v>2</v>
      </c>
      <c r="C172" s="7">
        <v>3</v>
      </c>
      <c r="D172" s="7">
        <v>1</v>
      </c>
      <c r="E172" s="7">
        <v>3</v>
      </c>
      <c r="F172" s="7">
        <v>50.81</v>
      </c>
      <c r="G172" s="7">
        <v>10</v>
      </c>
      <c r="T172"/>
    </row>
    <row r="173" spans="1:20" ht="15.5" x14ac:dyDescent="0.35">
      <c r="A173" s="7">
        <v>1</v>
      </c>
      <c r="B173" s="7">
        <v>2</v>
      </c>
      <c r="C173" s="7">
        <v>3</v>
      </c>
      <c r="D173" s="7">
        <v>1</v>
      </c>
      <c r="E173" s="7">
        <v>2</v>
      </c>
      <c r="F173" s="7">
        <v>15.81</v>
      </c>
      <c r="G173" s="7">
        <v>3.16</v>
      </c>
      <c r="T173"/>
    </row>
    <row r="174" spans="1:20" ht="15.5" x14ac:dyDescent="0.35">
      <c r="A174" s="7">
        <v>1</v>
      </c>
      <c r="B174" s="7">
        <v>2</v>
      </c>
      <c r="C174" s="7">
        <v>1</v>
      </c>
      <c r="D174" s="7">
        <v>1</v>
      </c>
      <c r="E174" s="7">
        <v>2</v>
      </c>
      <c r="F174" s="7">
        <v>7.25</v>
      </c>
      <c r="G174" s="7">
        <v>5.15</v>
      </c>
      <c r="T174"/>
    </row>
    <row r="175" spans="1:20" ht="15.5" x14ac:dyDescent="0.35">
      <c r="A175" s="7">
        <v>1</v>
      </c>
      <c r="B175" s="7">
        <v>2</v>
      </c>
      <c r="C175" s="7">
        <v>1</v>
      </c>
      <c r="D175" s="7">
        <v>1</v>
      </c>
      <c r="E175" s="7">
        <v>2</v>
      </c>
      <c r="F175" s="7">
        <v>31.85</v>
      </c>
      <c r="G175" s="7">
        <v>3.18</v>
      </c>
      <c r="T175"/>
    </row>
    <row r="176" spans="1:20" ht="15.5" x14ac:dyDescent="0.35">
      <c r="A176" s="7">
        <v>1</v>
      </c>
      <c r="B176" s="7">
        <v>2</v>
      </c>
      <c r="C176" s="7">
        <v>1</v>
      </c>
      <c r="D176" s="7">
        <v>1</v>
      </c>
      <c r="E176" s="7">
        <v>2</v>
      </c>
      <c r="F176" s="7">
        <v>16.82</v>
      </c>
      <c r="G176" s="7">
        <v>4</v>
      </c>
      <c r="T176"/>
    </row>
    <row r="177" spans="1:20" ht="15.5" x14ac:dyDescent="0.35">
      <c r="A177" s="7">
        <v>1</v>
      </c>
      <c r="B177" s="7">
        <v>2</v>
      </c>
      <c r="C177" s="7">
        <v>1</v>
      </c>
      <c r="D177" s="7">
        <v>1</v>
      </c>
      <c r="E177" s="7">
        <v>2</v>
      </c>
      <c r="F177" s="7">
        <v>32.9</v>
      </c>
      <c r="G177" s="7">
        <v>3.11</v>
      </c>
      <c r="T177"/>
    </row>
    <row r="178" spans="1:20" ht="15.5" x14ac:dyDescent="0.35">
      <c r="A178" s="7">
        <v>1</v>
      </c>
      <c r="B178" s="7">
        <v>2</v>
      </c>
      <c r="C178" s="7">
        <v>1</v>
      </c>
      <c r="D178" s="7">
        <v>1</v>
      </c>
      <c r="E178" s="7">
        <v>2</v>
      </c>
      <c r="F178" s="7">
        <v>17.89</v>
      </c>
      <c r="G178" s="7">
        <v>2</v>
      </c>
      <c r="T178"/>
    </row>
    <row r="179" spans="1:20" ht="15.5" x14ac:dyDescent="0.35">
      <c r="A179" s="7">
        <v>1</v>
      </c>
      <c r="B179" s="7">
        <v>2</v>
      </c>
      <c r="C179" s="7">
        <v>1</v>
      </c>
      <c r="D179" s="7">
        <v>1</v>
      </c>
      <c r="E179" s="7">
        <v>2</v>
      </c>
      <c r="F179" s="7">
        <v>14.48</v>
      </c>
      <c r="G179" s="7">
        <v>2</v>
      </c>
      <c r="T179"/>
    </row>
    <row r="180" spans="1:20" ht="15.5" x14ac:dyDescent="0.35">
      <c r="A180" s="7">
        <v>2</v>
      </c>
      <c r="B180" s="7">
        <v>2</v>
      </c>
      <c r="C180" s="7">
        <v>1</v>
      </c>
      <c r="D180" s="7">
        <v>1</v>
      </c>
      <c r="E180" s="7">
        <v>2</v>
      </c>
      <c r="F180" s="7">
        <v>9.6</v>
      </c>
      <c r="G180" s="7">
        <v>4</v>
      </c>
      <c r="T180"/>
    </row>
    <row r="181" spans="1:20" ht="15.5" x14ac:dyDescent="0.35">
      <c r="A181" s="7">
        <v>1</v>
      </c>
      <c r="B181" s="7">
        <v>2</v>
      </c>
      <c r="C181" s="7">
        <v>1</v>
      </c>
      <c r="D181" s="7">
        <v>1</v>
      </c>
      <c r="E181" s="7">
        <v>2</v>
      </c>
      <c r="F181" s="7">
        <v>34.630000000000003</v>
      </c>
      <c r="G181" s="7">
        <v>3.55</v>
      </c>
      <c r="T181"/>
    </row>
    <row r="182" spans="1:20" ht="15.5" x14ac:dyDescent="0.35">
      <c r="A182" s="7">
        <v>1</v>
      </c>
      <c r="B182" s="7">
        <v>2</v>
      </c>
      <c r="C182" s="7">
        <v>1</v>
      </c>
      <c r="D182" s="7">
        <v>1</v>
      </c>
      <c r="E182" s="7">
        <v>4</v>
      </c>
      <c r="F182" s="7">
        <v>34.65</v>
      </c>
      <c r="G182" s="7">
        <v>3.68</v>
      </c>
      <c r="T182"/>
    </row>
    <row r="183" spans="1:20" ht="15.5" x14ac:dyDescent="0.35">
      <c r="A183" s="7">
        <v>1</v>
      </c>
      <c r="B183" s="7">
        <v>2</v>
      </c>
      <c r="C183" s="7">
        <v>1</v>
      </c>
      <c r="D183" s="7">
        <v>1</v>
      </c>
      <c r="E183" s="7">
        <v>2</v>
      </c>
      <c r="F183" s="7">
        <v>23.33</v>
      </c>
      <c r="G183" s="7">
        <v>5.65</v>
      </c>
      <c r="T183"/>
    </row>
    <row r="184" spans="1:20" ht="15.5" x14ac:dyDescent="0.35">
      <c r="A184" s="7">
        <v>1</v>
      </c>
      <c r="B184" s="7">
        <v>2</v>
      </c>
      <c r="C184" s="7">
        <v>1</v>
      </c>
      <c r="D184" s="7">
        <v>1</v>
      </c>
      <c r="E184" s="7">
        <v>3</v>
      </c>
      <c r="F184" s="7">
        <v>45.35</v>
      </c>
      <c r="G184" s="7">
        <v>3.5</v>
      </c>
      <c r="T184"/>
    </row>
    <row r="185" spans="1:20" ht="15.5" x14ac:dyDescent="0.35">
      <c r="A185" s="7">
        <v>1</v>
      </c>
      <c r="B185" s="7">
        <v>2</v>
      </c>
      <c r="C185" s="7">
        <v>1</v>
      </c>
      <c r="D185" s="7">
        <v>1</v>
      </c>
      <c r="E185" s="7">
        <v>4</v>
      </c>
      <c r="F185" s="7">
        <v>23.17</v>
      </c>
      <c r="G185" s="7">
        <v>6.5</v>
      </c>
      <c r="T185"/>
    </row>
    <row r="186" spans="1:20" ht="15.5" x14ac:dyDescent="0.35">
      <c r="A186" s="7">
        <v>1</v>
      </c>
      <c r="B186" s="7">
        <v>2</v>
      </c>
      <c r="C186" s="7">
        <v>1</v>
      </c>
      <c r="D186" s="7">
        <v>1</v>
      </c>
      <c r="E186" s="7">
        <v>2</v>
      </c>
      <c r="F186" s="7">
        <v>40.549999999999997</v>
      </c>
      <c r="G186" s="7">
        <v>3</v>
      </c>
      <c r="T186"/>
    </row>
    <row r="187" spans="1:20" ht="15.5" x14ac:dyDescent="0.35">
      <c r="A187" s="7">
        <v>1</v>
      </c>
      <c r="B187" s="7">
        <v>1</v>
      </c>
      <c r="C187" s="7">
        <v>1</v>
      </c>
      <c r="D187" s="7">
        <v>1</v>
      </c>
      <c r="E187" s="7">
        <v>5</v>
      </c>
      <c r="F187" s="7">
        <v>20.69</v>
      </c>
      <c r="G187" s="7">
        <v>5</v>
      </c>
      <c r="T187"/>
    </row>
    <row r="188" spans="1:20" ht="15.5" x14ac:dyDescent="0.35">
      <c r="A188" s="7">
        <v>2</v>
      </c>
      <c r="B188" s="7">
        <v>2</v>
      </c>
      <c r="C188" s="7">
        <v>1</v>
      </c>
      <c r="D188" s="7">
        <v>1</v>
      </c>
      <c r="E188" s="7">
        <v>3</v>
      </c>
      <c r="F188" s="7">
        <v>20.9</v>
      </c>
      <c r="G188" s="7">
        <v>3.5</v>
      </c>
      <c r="T188"/>
    </row>
    <row r="189" spans="1:20" ht="15.5" x14ac:dyDescent="0.35">
      <c r="A189" s="7">
        <v>1</v>
      </c>
      <c r="B189" s="7">
        <v>2</v>
      </c>
      <c r="C189" s="7">
        <v>1</v>
      </c>
      <c r="D189" s="7">
        <v>1</v>
      </c>
      <c r="E189" s="7">
        <v>5</v>
      </c>
      <c r="F189" s="7">
        <v>30.46</v>
      </c>
      <c r="G189" s="7">
        <v>2</v>
      </c>
      <c r="T189"/>
    </row>
    <row r="190" spans="1:20" ht="15.5" x14ac:dyDescent="0.35">
      <c r="A190" s="7">
        <v>2</v>
      </c>
      <c r="B190" s="7">
        <v>2</v>
      </c>
      <c r="C190" s="7">
        <v>1</v>
      </c>
      <c r="D190" s="7">
        <v>1</v>
      </c>
      <c r="E190" s="7">
        <v>3</v>
      </c>
      <c r="F190" s="7">
        <v>18.149999999999999</v>
      </c>
      <c r="G190" s="7">
        <v>3.5</v>
      </c>
      <c r="T190"/>
    </row>
    <row r="191" spans="1:20" ht="15.5" x14ac:dyDescent="0.35">
      <c r="A191" s="7">
        <v>1</v>
      </c>
      <c r="B191" s="7">
        <v>2</v>
      </c>
      <c r="C191" s="7">
        <v>1</v>
      </c>
      <c r="D191" s="7">
        <v>1</v>
      </c>
      <c r="E191" s="7">
        <v>3</v>
      </c>
      <c r="F191" s="7">
        <v>23.1</v>
      </c>
      <c r="G191" s="7">
        <v>4</v>
      </c>
      <c r="T191"/>
    </row>
    <row r="192" spans="1:20" ht="15.5" x14ac:dyDescent="0.35">
      <c r="A192" s="7">
        <v>1</v>
      </c>
      <c r="B192" s="7">
        <v>2</v>
      </c>
      <c r="C192" s="7">
        <v>1</v>
      </c>
      <c r="D192" s="7">
        <v>1</v>
      </c>
      <c r="E192" s="7">
        <v>2</v>
      </c>
      <c r="F192" s="7">
        <v>15.69</v>
      </c>
      <c r="G192" s="7">
        <v>1.5</v>
      </c>
      <c r="T192"/>
    </row>
    <row r="193" spans="1:20" ht="15.5" x14ac:dyDescent="0.35">
      <c r="A193" s="7">
        <v>2</v>
      </c>
      <c r="B193" s="7">
        <v>2</v>
      </c>
      <c r="C193" s="7">
        <v>4</v>
      </c>
      <c r="D193" s="7">
        <v>2</v>
      </c>
      <c r="E193" s="7">
        <v>2</v>
      </c>
      <c r="F193" s="7">
        <v>19.809999999999999</v>
      </c>
      <c r="G193" s="7">
        <v>4.1900000000000004</v>
      </c>
      <c r="T193"/>
    </row>
    <row r="194" spans="1:20" ht="15.5" x14ac:dyDescent="0.35">
      <c r="A194" s="7">
        <v>1</v>
      </c>
      <c r="B194" s="7">
        <v>2</v>
      </c>
      <c r="C194" s="7">
        <v>4</v>
      </c>
      <c r="D194" s="7">
        <v>2</v>
      </c>
      <c r="E194" s="7">
        <v>2</v>
      </c>
      <c r="F194" s="7">
        <v>28.44</v>
      </c>
      <c r="G194" s="7">
        <v>2.56</v>
      </c>
      <c r="T194"/>
    </row>
    <row r="195" spans="1:20" ht="15.5" x14ac:dyDescent="0.35">
      <c r="A195" s="7">
        <v>1</v>
      </c>
      <c r="B195" s="7">
        <v>2</v>
      </c>
      <c r="C195" s="7">
        <v>4</v>
      </c>
      <c r="D195" s="7">
        <v>2</v>
      </c>
      <c r="E195" s="7">
        <v>2</v>
      </c>
      <c r="F195" s="7">
        <v>15.48</v>
      </c>
      <c r="G195" s="7">
        <v>2.02</v>
      </c>
      <c r="T195"/>
    </row>
    <row r="196" spans="1:20" ht="15.5" x14ac:dyDescent="0.35">
      <c r="A196" s="7">
        <v>1</v>
      </c>
      <c r="B196" s="7">
        <v>2</v>
      </c>
      <c r="C196" s="7">
        <v>4</v>
      </c>
      <c r="D196" s="7">
        <v>2</v>
      </c>
      <c r="E196" s="7">
        <v>2</v>
      </c>
      <c r="F196" s="7">
        <v>16.579999999999998</v>
      </c>
      <c r="G196" s="7">
        <v>4</v>
      </c>
      <c r="T196"/>
    </row>
    <row r="197" spans="1:20" ht="15.5" x14ac:dyDescent="0.35">
      <c r="A197" s="7">
        <v>1</v>
      </c>
      <c r="B197" s="7">
        <v>1</v>
      </c>
      <c r="C197" s="7">
        <v>4</v>
      </c>
      <c r="D197" s="7">
        <v>2</v>
      </c>
      <c r="E197" s="7">
        <v>2</v>
      </c>
      <c r="F197" s="7">
        <v>7.56</v>
      </c>
      <c r="G197" s="7">
        <v>1.44</v>
      </c>
      <c r="T197"/>
    </row>
    <row r="198" spans="1:20" ht="15.5" x14ac:dyDescent="0.35">
      <c r="A198" s="7">
        <v>1</v>
      </c>
      <c r="B198" s="7">
        <v>2</v>
      </c>
      <c r="C198" s="7">
        <v>4</v>
      </c>
      <c r="D198" s="7">
        <v>2</v>
      </c>
      <c r="E198" s="7">
        <v>2</v>
      </c>
      <c r="F198" s="7">
        <v>10.34</v>
      </c>
      <c r="G198" s="7">
        <v>2</v>
      </c>
      <c r="T198"/>
    </row>
    <row r="199" spans="1:20" ht="15.5" x14ac:dyDescent="0.35">
      <c r="A199" s="7">
        <v>2</v>
      </c>
      <c r="B199" s="7">
        <v>2</v>
      </c>
      <c r="C199" s="7">
        <v>4</v>
      </c>
      <c r="D199" s="7">
        <v>2</v>
      </c>
      <c r="E199" s="7">
        <v>4</v>
      </c>
      <c r="F199" s="7">
        <v>43.11</v>
      </c>
      <c r="G199" s="7">
        <v>5</v>
      </c>
      <c r="T199"/>
    </row>
    <row r="200" spans="1:20" ht="15.5" x14ac:dyDescent="0.35">
      <c r="A200" s="7">
        <v>2</v>
      </c>
      <c r="B200" s="7">
        <v>2</v>
      </c>
      <c r="C200" s="7">
        <v>4</v>
      </c>
      <c r="D200" s="7">
        <v>2</v>
      </c>
      <c r="E200" s="7">
        <v>2</v>
      </c>
      <c r="F200" s="7">
        <v>13</v>
      </c>
      <c r="G200" s="7">
        <v>2</v>
      </c>
      <c r="T200"/>
    </row>
    <row r="201" spans="1:20" ht="15.5" x14ac:dyDescent="0.35">
      <c r="A201" s="7">
        <v>1</v>
      </c>
      <c r="B201" s="7">
        <v>2</v>
      </c>
      <c r="C201" s="7">
        <v>4</v>
      </c>
      <c r="D201" s="7">
        <v>2</v>
      </c>
      <c r="E201" s="7">
        <v>2</v>
      </c>
      <c r="F201" s="7">
        <v>13.51</v>
      </c>
      <c r="G201" s="7">
        <v>2</v>
      </c>
      <c r="T201"/>
    </row>
    <row r="202" spans="1:20" ht="15.5" x14ac:dyDescent="0.35">
      <c r="A202" s="7">
        <v>1</v>
      </c>
      <c r="B202" s="7">
        <v>2</v>
      </c>
      <c r="C202" s="7">
        <v>4</v>
      </c>
      <c r="D202" s="7">
        <v>2</v>
      </c>
      <c r="E202" s="7">
        <v>3</v>
      </c>
      <c r="F202" s="7">
        <v>18.71</v>
      </c>
      <c r="G202" s="7">
        <v>4</v>
      </c>
      <c r="T202"/>
    </row>
    <row r="203" spans="1:20" ht="15.5" x14ac:dyDescent="0.35">
      <c r="A203" s="7">
        <v>2</v>
      </c>
      <c r="B203" s="7">
        <v>2</v>
      </c>
      <c r="C203" s="7">
        <v>4</v>
      </c>
      <c r="D203" s="7">
        <v>2</v>
      </c>
      <c r="E203" s="7">
        <v>2</v>
      </c>
      <c r="F203" s="7">
        <v>12.74</v>
      </c>
      <c r="G203" s="7">
        <v>2.0099999999999998</v>
      </c>
      <c r="T203"/>
    </row>
    <row r="204" spans="1:20" ht="15.5" x14ac:dyDescent="0.35">
      <c r="A204" s="7">
        <v>2</v>
      </c>
      <c r="B204" s="7">
        <v>2</v>
      </c>
      <c r="C204" s="7">
        <v>4</v>
      </c>
      <c r="D204" s="7">
        <v>2</v>
      </c>
      <c r="E204" s="7">
        <v>2</v>
      </c>
      <c r="F204" s="7">
        <v>16.399999999999999</v>
      </c>
      <c r="G204" s="7">
        <v>2.5</v>
      </c>
      <c r="T204"/>
    </row>
    <row r="205" spans="1:20" ht="15.5" x14ac:dyDescent="0.35">
      <c r="A205" s="7">
        <v>1</v>
      </c>
      <c r="B205" s="7">
        <v>2</v>
      </c>
      <c r="C205" s="7">
        <v>4</v>
      </c>
      <c r="D205" s="7">
        <v>2</v>
      </c>
      <c r="E205" s="7">
        <v>4</v>
      </c>
      <c r="F205" s="7">
        <v>20.53</v>
      </c>
      <c r="G205" s="7">
        <v>4</v>
      </c>
      <c r="T205"/>
    </row>
    <row r="206" spans="1:20" ht="15.5" x14ac:dyDescent="0.35">
      <c r="A206" s="7">
        <v>2</v>
      </c>
      <c r="B206" s="7">
        <v>2</v>
      </c>
      <c r="C206" s="7">
        <v>4</v>
      </c>
      <c r="D206" s="7">
        <v>2</v>
      </c>
      <c r="E206" s="7">
        <v>3</v>
      </c>
      <c r="F206" s="7">
        <v>16.47</v>
      </c>
      <c r="G206" s="7">
        <v>3.23</v>
      </c>
      <c r="T206"/>
    </row>
    <row r="207" spans="1:20" ht="15.5" x14ac:dyDescent="0.35">
      <c r="A207" s="7">
        <v>1</v>
      </c>
      <c r="B207" s="7">
        <v>2</v>
      </c>
      <c r="C207" s="7">
        <v>3</v>
      </c>
      <c r="D207" s="7">
        <v>1</v>
      </c>
      <c r="E207" s="7">
        <v>3</v>
      </c>
      <c r="F207" s="7">
        <v>26.59</v>
      </c>
      <c r="G207" s="7">
        <v>3.41</v>
      </c>
      <c r="T207"/>
    </row>
    <row r="208" spans="1:20" ht="15.5" x14ac:dyDescent="0.35">
      <c r="A208" s="7">
        <v>1</v>
      </c>
      <c r="B208" s="7">
        <v>2</v>
      </c>
      <c r="C208" s="7">
        <v>3</v>
      </c>
      <c r="D208" s="7">
        <v>1</v>
      </c>
      <c r="E208" s="7">
        <v>4</v>
      </c>
      <c r="F208" s="7">
        <v>38.729999999999997</v>
      </c>
      <c r="G208" s="7">
        <v>3</v>
      </c>
      <c r="T208"/>
    </row>
    <row r="209" spans="1:20" ht="15.5" x14ac:dyDescent="0.35">
      <c r="A209" s="7">
        <v>1</v>
      </c>
      <c r="B209" s="7">
        <v>2</v>
      </c>
      <c r="C209" s="7">
        <v>3</v>
      </c>
      <c r="D209" s="7">
        <v>1</v>
      </c>
      <c r="E209" s="7">
        <v>2</v>
      </c>
      <c r="F209" s="7">
        <v>24.27</v>
      </c>
      <c r="G209" s="7">
        <v>2.0299999999999998</v>
      </c>
      <c r="T209"/>
    </row>
    <row r="210" spans="1:20" ht="15.5" x14ac:dyDescent="0.35">
      <c r="A210" s="7">
        <v>2</v>
      </c>
      <c r="B210" s="7">
        <v>2</v>
      </c>
      <c r="C210" s="7">
        <v>3</v>
      </c>
      <c r="D210" s="7">
        <v>1</v>
      </c>
      <c r="E210" s="7">
        <v>2</v>
      </c>
      <c r="F210" s="7">
        <v>12.76</v>
      </c>
      <c r="G210" s="7">
        <v>2.23</v>
      </c>
      <c r="T210"/>
    </row>
    <row r="211" spans="1:20" ht="15.5" x14ac:dyDescent="0.35">
      <c r="A211" s="7">
        <v>1</v>
      </c>
      <c r="B211" s="7">
        <v>2</v>
      </c>
      <c r="C211" s="7">
        <v>3</v>
      </c>
      <c r="D211" s="7">
        <v>1</v>
      </c>
      <c r="E211" s="7">
        <v>3</v>
      </c>
      <c r="F211" s="7">
        <v>30.06</v>
      </c>
      <c r="G211" s="7">
        <v>2</v>
      </c>
      <c r="T211"/>
    </row>
    <row r="212" spans="1:20" ht="15.5" x14ac:dyDescent="0.35">
      <c r="A212" s="7">
        <v>1</v>
      </c>
      <c r="B212" s="7">
        <v>2</v>
      </c>
      <c r="C212" s="7">
        <v>3</v>
      </c>
      <c r="D212" s="7">
        <v>1</v>
      </c>
      <c r="E212" s="7">
        <v>4</v>
      </c>
      <c r="F212" s="7">
        <v>25.89</v>
      </c>
      <c r="G212" s="7">
        <v>5.16</v>
      </c>
      <c r="T212"/>
    </row>
    <row r="213" spans="1:20" ht="15.5" x14ac:dyDescent="0.35">
      <c r="A213" s="7">
        <v>1</v>
      </c>
      <c r="B213" s="7">
        <v>1</v>
      </c>
      <c r="C213" s="7">
        <v>3</v>
      </c>
      <c r="D213" s="7">
        <v>1</v>
      </c>
      <c r="E213" s="7">
        <v>4</v>
      </c>
      <c r="F213" s="7">
        <v>48.33</v>
      </c>
      <c r="G213" s="7">
        <v>9</v>
      </c>
      <c r="T213"/>
    </row>
    <row r="214" spans="1:20" ht="15.5" x14ac:dyDescent="0.35">
      <c r="A214" s="7">
        <v>2</v>
      </c>
      <c r="B214" s="7">
        <v>2</v>
      </c>
      <c r="C214" s="7">
        <v>3</v>
      </c>
      <c r="D214" s="7">
        <v>1</v>
      </c>
      <c r="E214" s="7">
        <v>2</v>
      </c>
      <c r="F214" s="7">
        <v>13.27</v>
      </c>
      <c r="G214" s="7">
        <v>2.5</v>
      </c>
      <c r="T214"/>
    </row>
    <row r="215" spans="1:20" ht="15.5" x14ac:dyDescent="0.35">
      <c r="A215" s="7">
        <v>2</v>
      </c>
      <c r="B215" s="7">
        <v>2</v>
      </c>
      <c r="C215" s="7">
        <v>3</v>
      </c>
      <c r="D215" s="7">
        <v>1</v>
      </c>
      <c r="E215" s="7">
        <v>3</v>
      </c>
      <c r="F215" s="7">
        <v>28.17</v>
      </c>
      <c r="G215" s="7">
        <v>6.5</v>
      </c>
      <c r="T215"/>
    </row>
    <row r="216" spans="1:20" ht="15.5" x14ac:dyDescent="0.35">
      <c r="A216" s="7">
        <v>2</v>
      </c>
      <c r="B216" s="7">
        <v>2</v>
      </c>
      <c r="C216" s="7">
        <v>3</v>
      </c>
      <c r="D216" s="7">
        <v>1</v>
      </c>
      <c r="E216" s="7">
        <v>2</v>
      </c>
      <c r="F216" s="7">
        <v>12.9</v>
      </c>
      <c r="G216" s="7">
        <v>1.1000000000000001</v>
      </c>
      <c r="T216"/>
    </row>
    <row r="217" spans="1:20" ht="15.5" x14ac:dyDescent="0.35">
      <c r="A217" s="7">
        <v>1</v>
      </c>
      <c r="B217" s="7">
        <v>2</v>
      </c>
      <c r="C217" s="7">
        <v>3</v>
      </c>
      <c r="D217" s="7">
        <v>1</v>
      </c>
      <c r="E217" s="7">
        <v>5</v>
      </c>
      <c r="F217" s="7">
        <v>28.15</v>
      </c>
      <c r="G217" s="7">
        <v>3</v>
      </c>
      <c r="T217"/>
    </row>
    <row r="218" spans="1:20" ht="15.5" x14ac:dyDescent="0.35">
      <c r="A218" s="7">
        <v>1</v>
      </c>
      <c r="B218" s="7">
        <v>2</v>
      </c>
      <c r="C218" s="7">
        <v>3</v>
      </c>
      <c r="D218" s="7">
        <v>1</v>
      </c>
      <c r="E218" s="7">
        <v>2</v>
      </c>
      <c r="F218" s="7">
        <v>11.59</v>
      </c>
      <c r="G218" s="7">
        <v>1.5</v>
      </c>
      <c r="T218"/>
    </row>
    <row r="219" spans="1:20" ht="15.5" x14ac:dyDescent="0.35">
      <c r="A219" s="7">
        <v>1</v>
      </c>
      <c r="B219" s="7">
        <v>2</v>
      </c>
      <c r="C219" s="7">
        <v>3</v>
      </c>
      <c r="D219" s="7">
        <v>1</v>
      </c>
      <c r="E219" s="7">
        <v>2</v>
      </c>
      <c r="F219" s="7">
        <v>7.74</v>
      </c>
      <c r="G219" s="7">
        <v>1.44</v>
      </c>
      <c r="T219"/>
    </row>
    <row r="220" spans="1:20" ht="15.5" x14ac:dyDescent="0.35">
      <c r="A220" s="7">
        <v>2</v>
      </c>
      <c r="B220" s="7">
        <v>2</v>
      </c>
      <c r="C220" s="7">
        <v>3</v>
      </c>
      <c r="D220" s="7">
        <v>1</v>
      </c>
      <c r="E220" s="7">
        <v>4</v>
      </c>
      <c r="F220" s="7">
        <v>30.14</v>
      </c>
      <c r="G220" s="7">
        <v>3.09</v>
      </c>
      <c r="T220"/>
    </row>
    <row r="221" spans="1:20" ht="15.5" x14ac:dyDescent="0.35">
      <c r="A221" s="7">
        <v>1</v>
      </c>
      <c r="B221" s="7">
        <v>2</v>
      </c>
      <c r="C221" s="7">
        <v>2</v>
      </c>
      <c r="D221" s="7">
        <v>2</v>
      </c>
      <c r="E221" s="7">
        <v>2</v>
      </c>
      <c r="F221" s="7">
        <v>12.16</v>
      </c>
      <c r="G221" s="7">
        <v>2.2000000000000002</v>
      </c>
      <c r="T221"/>
    </row>
    <row r="222" spans="1:20" ht="15.5" x14ac:dyDescent="0.35">
      <c r="A222" s="7">
        <v>2</v>
      </c>
      <c r="B222" s="7">
        <v>2</v>
      </c>
      <c r="C222" s="7">
        <v>2</v>
      </c>
      <c r="D222" s="7">
        <v>2</v>
      </c>
      <c r="E222" s="7">
        <v>2</v>
      </c>
      <c r="F222" s="7">
        <v>13.42</v>
      </c>
      <c r="G222" s="7">
        <v>3.48</v>
      </c>
      <c r="T222"/>
    </row>
    <row r="223" spans="1:20" ht="15.5" x14ac:dyDescent="0.35">
      <c r="A223" s="7">
        <v>1</v>
      </c>
      <c r="B223" s="7">
        <v>2</v>
      </c>
      <c r="C223" s="7">
        <v>2</v>
      </c>
      <c r="D223" s="7">
        <v>2</v>
      </c>
      <c r="E223" s="7">
        <v>1</v>
      </c>
      <c r="F223" s="7">
        <v>8.58</v>
      </c>
      <c r="G223" s="7">
        <v>1.92</v>
      </c>
      <c r="T223"/>
    </row>
    <row r="224" spans="1:20" ht="15.5" x14ac:dyDescent="0.35">
      <c r="A224" s="7">
        <v>2</v>
      </c>
      <c r="B224" s="7">
        <v>1</v>
      </c>
      <c r="C224" s="7">
        <v>2</v>
      </c>
      <c r="D224" s="7">
        <v>2</v>
      </c>
      <c r="E224" s="7">
        <v>3</v>
      </c>
      <c r="F224" s="7">
        <v>15.98</v>
      </c>
      <c r="G224" s="7">
        <v>3</v>
      </c>
      <c r="T224"/>
    </row>
    <row r="225" spans="1:20" ht="15.5" x14ac:dyDescent="0.35">
      <c r="A225" s="7">
        <v>1</v>
      </c>
      <c r="B225" s="7">
        <v>2</v>
      </c>
      <c r="C225" s="7">
        <v>2</v>
      </c>
      <c r="D225" s="7">
        <v>2</v>
      </c>
      <c r="E225" s="7">
        <v>2</v>
      </c>
      <c r="F225" s="7">
        <v>13.42</v>
      </c>
      <c r="G225" s="7">
        <v>1.58</v>
      </c>
      <c r="T225"/>
    </row>
    <row r="226" spans="1:20" ht="15.5" x14ac:dyDescent="0.35">
      <c r="A226" s="7">
        <v>2</v>
      </c>
      <c r="B226" s="7">
        <v>2</v>
      </c>
      <c r="C226" s="7">
        <v>2</v>
      </c>
      <c r="D226" s="7">
        <v>2</v>
      </c>
      <c r="E226" s="7">
        <v>2</v>
      </c>
      <c r="F226" s="7">
        <v>16.27</v>
      </c>
      <c r="G226" s="7">
        <v>2.5</v>
      </c>
      <c r="T226"/>
    </row>
    <row r="227" spans="1:20" ht="15.5" x14ac:dyDescent="0.35">
      <c r="A227" s="7">
        <v>2</v>
      </c>
      <c r="B227" s="7">
        <v>2</v>
      </c>
      <c r="C227" s="7">
        <v>2</v>
      </c>
      <c r="D227" s="7">
        <v>2</v>
      </c>
      <c r="E227" s="7">
        <v>2</v>
      </c>
      <c r="F227" s="7">
        <v>10.09</v>
      </c>
      <c r="G227" s="7">
        <v>2</v>
      </c>
      <c r="T227"/>
    </row>
    <row r="228" spans="1:20" ht="15.5" x14ac:dyDescent="0.35">
      <c r="A228" s="7">
        <v>1</v>
      </c>
      <c r="B228" s="7">
        <v>1</v>
      </c>
      <c r="C228" s="7">
        <v>3</v>
      </c>
      <c r="D228" s="7">
        <v>1</v>
      </c>
      <c r="E228" s="7">
        <v>4</v>
      </c>
      <c r="F228" s="7">
        <v>20.45</v>
      </c>
      <c r="G228" s="7">
        <v>3</v>
      </c>
      <c r="T228"/>
    </row>
    <row r="229" spans="1:20" ht="15.5" x14ac:dyDescent="0.35">
      <c r="A229" s="7">
        <v>1</v>
      </c>
      <c r="B229" s="7">
        <v>1</v>
      </c>
      <c r="C229" s="7">
        <v>3</v>
      </c>
      <c r="D229" s="7">
        <v>1</v>
      </c>
      <c r="E229" s="7">
        <v>2</v>
      </c>
      <c r="F229" s="7">
        <v>13.28</v>
      </c>
      <c r="G229" s="7">
        <v>2.72</v>
      </c>
      <c r="T229"/>
    </row>
    <row r="230" spans="1:20" ht="15.5" x14ac:dyDescent="0.35">
      <c r="A230" s="7">
        <v>2</v>
      </c>
      <c r="B230" s="7">
        <v>2</v>
      </c>
      <c r="C230" s="7">
        <v>3</v>
      </c>
      <c r="D230" s="7">
        <v>1</v>
      </c>
      <c r="E230" s="7">
        <v>2</v>
      </c>
      <c r="F230" s="7">
        <v>22.12</v>
      </c>
      <c r="G230" s="7">
        <v>2.88</v>
      </c>
      <c r="T230"/>
    </row>
    <row r="231" spans="1:20" ht="15.5" x14ac:dyDescent="0.35">
      <c r="A231" s="7">
        <v>1</v>
      </c>
      <c r="B231" s="7">
        <v>2</v>
      </c>
      <c r="C231" s="7">
        <v>3</v>
      </c>
      <c r="D231" s="7">
        <v>1</v>
      </c>
      <c r="E231" s="7">
        <v>4</v>
      </c>
      <c r="F231" s="7">
        <v>24.01</v>
      </c>
      <c r="G231" s="7">
        <v>2</v>
      </c>
      <c r="T231"/>
    </row>
    <row r="232" spans="1:20" ht="15.5" x14ac:dyDescent="0.35">
      <c r="A232" s="7">
        <v>1</v>
      </c>
      <c r="B232" s="7">
        <v>2</v>
      </c>
      <c r="C232" s="7">
        <v>3</v>
      </c>
      <c r="D232" s="7">
        <v>1</v>
      </c>
      <c r="E232" s="7">
        <v>3</v>
      </c>
      <c r="F232" s="7">
        <v>15.69</v>
      </c>
      <c r="G232" s="7">
        <v>3</v>
      </c>
      <c r="T232"/>
    </row>
    <row r="233" spans="1:20" ht="15.5" x14ac:dyDescent="0.35">
      <c r="A233" s="7">
        <v>1</v>
      </c>
      <c r="B233" s="7">
        <v>1</v>
      </c>
      <c r="C233" s="7">
        <v>3</v>
      </c>
      <c r="D233" s="7">
        <v>1</v>
      </c>
      <c r="E233" s="7">
        <v>2</v>
      </c>
      <c r="F233" s="7">
        <v>11.61</v>
      </c>
      <c r="G233" s="7">
        <v>3.39</v>
      </c>
      <c r="T233"/>
    </row>
    <row r="234" spans="1:20" ht="15.5" x14ac:dyDescent="0.35">
      <c r="A234" s="7">
        <v>1</v>
      </c>
      <c r="B234" s="7">
        <v>1</v>
      </c>
      <c r="C234" s="7">
        <v>3</v>
      </c>
      <c r="D234" s="7">
        <v>1</v>
      </c>
      <c r="E234" s="7">
        <v>2</v>
      </c>
      <c r="F234" s="7">
        <v>10.77</v>
      </c>
      <c r="G234" s="7">
        <v>1.47</v>
      </c>
      <c r="T234"/>
    </row>
    <row r="235" spans="1:20" ht="15.5" x14ac:dyDescent="0.35">
      <c r="A235" s="7">
        <v>1</v>
      </c>
      <c r="B235" s="7">
        <v>2</v>
      </c>
      <c r="C235" s="7">
        <v>3</v>
      </c>
      <c r="D235" s="7">
        <v>1</v>
      </c>
      <c r="E235" s="7">
        <v>2</v>
      </c>
      <c r="F235" s="7">
        <v>15.53</v>
      </c>
      <c r="G235" s="7">
        <v>3</v>
      </c>
      <c r="T235"/>
    </row>
    <row r="236" spans="1:20" ht="15.5" x14ac:dyDescent="0.35">
      <c r="A236" s="7">
        <v>1</v>
      </c>
      <c r="B236" s="7">
        <v>1</v>
      </c>
      <c r="C236" s="7">
        <v>3</v>
      </c>
      <c r="D236" s="7">
        <v>1</v>
      </c>
      <c r="E236" s="7">
        <v>2</v>
      </c>
      <c r="F236" s="7">
        <v>10.07</v>
      </c>
      <c r="G236" s="7">
        <v>1.25</v>
      </c>
      <c r="T236"/>
    </row>
    <row r="237" spans="1:20" ht="15.5" x14ac:dyDescent="0.35">
      <c r="A237" s="7">
        <v>1</v>
      </c>
      <c r="B237" s="7">
        <v>2</v>
      </c>
      <c r="C237" s="7">
        <v>3</v>
      </c>
      <c r="D237" s="7">
        <v>1</v>
      </c>
      <c r="E237" s="7">
        <v>2</v>
      </c>
      <c r="F237" s="7">
        <v>12.6</v>
      </c>
      <c r="G237" s="7">
        <v>1</v>
      </c>
      <c r="T237"/>
    </row>
    <row r="238" spans="1:20" ht="15.5" x14ac:dyDescent="0.35">
      <c r="A238" s="7">
        <v>1</v>
      </c>
      <c r="B238" s="7">
        <v>2</v>
      </c>
      <c r="C238" s="7">
        <v>3</v>
      </c>
      <c r="D238" s="7">
        <v>1</v>
      </c>
      <c r="E238" s="7">
        <v>2</v>
      </c>
      <c r="F238" s="7">
        <v>32.83</v>
      </c>
      <c r="G238" s="7">
        <v>1.17</v>
      </c>
      <c r="T238"/>
    </row>
    <row r="239" spans="1:20" ht="15.5" x14ac:dyDescent="0.35">
      <c r="A239" s="7">
        <v>2</v>
      </c>
      <c r="B239" s="7">
        <v>1</v>
      </c>
      <c r="C239" s="7">
        <v>3</v>
      </c>
      <c r="D239" s="7">
        <v>1</v>
      </c>
      <c r="E239" s="7">
        <v>3</v>
      </c>
      <c r="F239" s="7">
        <v>35.83</v>
      </c>
      <c r="G239" s="7">
        <v>4.67</v>
      </c>
      <c r="T239"/>
    </row>
    <row r="240" spans="1:20" ht="15.5" x14ac:dyDescent="0.35">
      <c r="A240" s="7">
        <v>1</v>
      </c>
      <c r="B240" s="7">
        <v>1</v>
      </c>
      <c r="C240" s="7">
        <v>3</v>
      </c>
      <c r="D240" s="7">
        <v>1</v>
      </c>
      <c r="E240" s="7">
        <v>3</v>
      </c>
      <c r="F240" s="7">
        <v>29.03</v>
      </c>
      <c r="G240" s="7">
        <v>5.92</v>
      </c>
      <c r="T240"/>
    </row>
    <row r="241" spans="1:20" ht="15.5" x14ac:dyDescent="0.35">
      <c r="A241" s="7">
        <v>2</v>
      </c>
      <c r="B241" s="7">
        <v>2</v>
      </c>
      <c r="C241" s="7">
        <v>3</v>
      </c>
      <c r="D241" s="7">
        <v>1</v>
      </c>
      <c r="E241" s="7">
        <v>2</v>
      </c>
      <c r="F241" s="7">
        <v>27.18</v>
      </c>
      <c r="G241" s="7">
        <v>2</v>
      </c>
      <c r="T241"/>
    </row>
    <row r="242" spans="1:20" ht="15.5" x14ac:dyDescent="0.35">
      <c r="A242" s="7">
        <v>1</v>
      </c>
      <c r="B242" s="7">
        <v>2</v>
      </c>
      <c r="C242" s="7">
        <v>3</v>
      </c>
      <c r="D242" s="7">
        <v>1</v>
      </c>
      <c r="E242" s="7">
        <v>2</v>
      </c>
      <c r="F242" s="7">
        <v>22.67</v>
      </c>
      <c r="G242" s="7">
        <v>2</v>
      </c>
      <c r="T242"/>
    </row>
    <row r="243" spans="1:20" ht="15.5" x14ac:dyDescent="0.35">
      <c r="A243" s="7">
        <v>1</v>
      </c>
      <c r="B243" s="7">
        <v>1</v>
      </c>
      <c r="C243" s="7">
        <v>3</v>
      </c>
      <c r="D243" s="7">
        <v>1</v>
      </c>
      <c r="E243" s="7">
        <v>2</v>
      </c>
      <c r="F243" s="7">
        <v>17.82</v>
      </c>
      <c r="G243" s="7">
        <v>1.75</v>
      </c>
      <c r="T243"/>
    </row>
    <row r="244" spans="1:20" ht="15.5" x14ac:dyDescent="0.35">
      <c r="A244" s="7">
        <v>2</v>
      </c>
      <c r="B244" s="7">
        <v>1</v>
      </c>
      <c r="C244" s="7">
        <v>4</v>
      </c>
      <c r="D244" s="7">
        <v>1</v>
      </c>
      <c r="E244" s="7">
        <v>2</v>
      </c>
      <c r="F244" s="7">
        <v>18.78</v>
      </c>
      <c r="G244" s="7">
        <v>3</v>
      </c>
      <c r="T2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7DEC-4EA0-4A7C-885C-60F679CFC23E}">
  <dimension ref="A3:D25"/>
  <sheetViews>
    <sheetView workbookViewId="0">
      <selection activeCell="C10" sqref="C10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6.81640625" bestFit="1" customWidth="1"/>
    <col min="4" max="4" width="10.7265625" bestFit="1" customWidth="1"/>
    <col min="5" max="5" width="7.54296875" bestFit="1" customWidth="1"/>
    <col min="6" max="6" width="5.81640625" bestFit="1" customWidth="1"/>
    <col min="7" max="7" width="10.453125" bestFit="1" customWidth="1"/>
    <col min="8" max="8" width="10.7265625" bestFit="1" customWidth="1"/>
  </cols>
  <sheetData>
    <row r="3" spans="1:2" x14ac:dyDescent="0.35">
      <c r="A3" s="3" t="s">
        <v>30</v>
      </c>
      <c r="B3" t="s">
        <v>32</v>
      </c>
    </row>
    <row r="4" spans="1:2" x14ac:dyDescent="0.35">
      <c r="A4" s="4" t="s">
        <v>7</v>
      </c>
      <c r="B4">
        <v>244.51</v>
      </c>
    </row>
    <row r="5" spans="1:2" x14ac:dyDescent="0.35">
      <c r="A5" s="4" t="s">
        <v>11</v>
      </c>
      <c r="B5">
        <v>485.07000000000011</v>
      </c>
    </row>
    <row r="6" spans="1:2" x14ac:dyDescent="0.35">
      <c r="A6" s="4" t="s">
        <v>31</v>
      </c>
      <c r="B6">
        <v>729.58000000000015</v>
      </c>
    </row>
    <row r="21" spans="1:4" x14ac:dyDescent="0.35">
      <c r="A21" s="3" t="s">
        <v>32</v>
      </c>
      <c r="B21" s="3" t="s">
        <v>33</v>
      </c>
    </row>
    <row r="22" spans="1:4" x14ac:dyDescent="0.35">
      <c r="A22" s="3" t="s">
        <v>30</v>
      </c>
      <c r="B22" t="s">
        <v>10</v>
      </c>
      <c r="C22" t="s">
        <v>24</v>
      </c>
      <c r="D22" t="s">
        <v>31</v>
      </c>
    </row>
    <row r="23" spans="1:4" x14ac:dyDescent="0.35">
      <c r="A23" s="4" t="s">
        <v>7</v>
      </c>
      <c r="B23">
        <v>156.10999999999999</v>
      </c>
      <c r="C23">
        <v>88.40000000000002</v>
      </c>
      <c r="D23">
        <v>244.51</v>
      </c>
    </row>
    <row r="24" spans="1:4" x14ac:dyDescent="0.35">
      <c r="A24" s="4" t="s">
        <v>11</v>
      </c>
      <c r="B24">
        <v>389.96000000000004</v>
      </c>
      <c r="C24">
        <v>95.11</v>
      </c>
      <c r="D24">
        <v>485.07000000000005</v>
      </c>
    </row>
    <row r="25" spans="1:4" x14ac:dyDescent="0.35">
      <c r="A25" s="4" t="s">
        <v>31</v>
      </c>
      <c r="B25">
        <v>546.07000000000005</v>
      </c>
      <c r="C25">
        <v>183.51000000000002</v>
      </c>
      <c r="D25">
        <v>729.58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8DE1-E4B4-4BBD-B316-85E235B7C56C}">
  <dimension ref="A1:T244"/>
  <sheetViews>
    <sheetView zoomScale="74" workbookViewId="0">
      <selection activeCell="J15" sqref="J15"/>
    </sheetView>
  </sheetViews>
  <sheetFormatPr defaultRowHeight="14.5" x14ac:dyDescent="0.35"/>
  <cols>
    <col min="1" max="1" width="15" customWidth="1"/>
    <col min="2" max="2" width="20.1796875" customWidth="1"/>
    <col min="3" max="4" width="14.90625" customWidth="1"/>
    <col min="6" max="6" width="12.26953125" customWidth="1"/>
    <col min="7" max="7" width="13.1796875" customWidth="1"/>
    <col min="9" max="9" width="18" customWidth="1"/>
    <col min="10" max="10" width="21.453125" customWidth="1"/>
    <col min="11" max="11" width="113.453125" customWidth="1"/>
    <col min="13" max="13" width="13.1796875" customWidth="1"/>
    <col min="14" max="14" width="12.08984375" customWidth="1"/>
    <col min="15" max="15" width="12.54296875" customWidth="1"/>
    <col min="16" max="16" width="13" customWidth="1"/>
    <col min="17" max="17" width="12.6328125" customWidth="1"/>
    <col min="18" max="18" width="12" customWidth="1"/>
    <col min="19" max="19" width="10.6328125" customWidth="1"/>
    <col min="20" max="20" width="18.6328125" style="5" customWidth="1"/>
    <col min="22" max="22" width="8.984375E-2" customWidth="1"/>
    <col min="24" max="24" width="12.08984375" customWidth="1"/>
    <col min="35" max="35" width="17.08984375" customWidth="1"/>
  </cols>
  <sheetData>
    <row r="1" spans="1:20" ht="18.5" x14ac:dyDescent="0.35">
      <c r="A1" s="50" t="s">
        <v>26</v>
      </c>
      <c r="B1" s="50" t="s">
        <v>27</v>
      </c>
      <c r="C1" s="50" t="s">
        <v>28</v>
      </c>
      <c r="D1" s="50" t="s">
        <v>29</v>
      </c>
      <c r="E1" s="50" t="s">
        <v>4</v>
      </c>
      <c r="F1" s="50" t="s">
        <v>5</v>
      </c>
      <c r="G1" s="50" t="s">
        <v>77</v>
      </c>
      <c r="T1"/>
    </row>
    <row r="2" spans="1:20" ht="18.5" x14ac:dyDescent="0.35">
      <c r="A2" s="50">
        <v>2</v>
      </c>
      <c r="B2" s="50">
        <v>1</v>
      </c>
      <c r="C2" s="50">
        <v>1</v>
      </c>
      <c r="D2" s="50">
        <v>1</v>
      </c>
      <c r="E2" s="50">
        <v>2</v>
      </c>
      <c r="F2" s="50">
        <v>16.989999999999998</v>
      </c>
      <c r="G2" s="50">
        <v>1.01</v>
      </c>
      <c r="T2"/>
    </row>
    <row r="3" spans="1:20" ht="18.5" x14ac:dyDescent="0.35">
      <c r="A3" s="50">
        <v>1</v>
      </c>
      <c r="B3" s="50">
        <v>1</v>
      </c>
      <c r="C3" s="50">
        <v>1</v>
      </c>
      <c r="D3" s="50">
        <v>1</v>
      </c>
      <c r="E3" s="50">
        <v>3</v>
      </c>
      <c r="F3" s="50">
        <v>10.34</v>
      </c>
      <c r="G3" s="50">
        <v>1.66</v>
      </c>
      <c r="T3"/>
    </row>
    <row r="4" spans="1:20" ht="18.5" x14ac:dyDescent="0.45">
      <c r="A4" s="50">
        <v>1</v>
      </c>
      <c r="B4" s="50">
        <v>1</v>
      </c>
      <c r="C4" s="50">
        <v>1</v>
      </c>
      <c r="D4" s="50">
        <v>1</v>
      </c>
      <c r="E4" s="50">
        <v>3</v>
      </c>
      <c r="F4" s="50">
        <v>21.01</v>
      </c>
      <c r="G4" s="50">
        <v>3.5</v>
      </c>
      <c r="I4" s="45" t="s">
        <v>39</v>
      </c>
      <c r="J4" s="45" t="s">
        <v>34</v>
      </c>
      <c r="K4" s="45" t="s">
        <v>64</v>
      </c>
      <c r="T4"/>
    </row>
    <row r="5" spans="1:20" ht="18.5" x14ac:dyDescent="0.45">
      <c r="A5" s="50">
        <v>1</v>
      </c>
      <c r="B5" s="50">
        <v>1</v>
      </c>
      <c r="C5" s="50">
        <v>1</v>
      </c>
      <c r="D5" s="50">
        <v>1</v>
      </c>
      <c r="E5" s="50">
        <v>2</v>
      </c>
      <c r="F5" s="50">
        <v>23.68</v>
      </c>
      <c r="G5" s="50">
        <v>3.31</v>
      </c>
      <c r="I5" s="46" t="s">
        <v>35</v>
      </c>
      <c r="J5" s="48">
        <f>CORREL($A$1:$A$244,$G$1:$G$244)</f>
        <v>-8.5273975201494628E-2</v>
      </c>
      <c r="K5" s="47" t="s">
        <v>69</v>
      </c>
      <c r="T5"/>
    </row>
    <row r="6" spans="1:20" ht="18.5" x14ac:dyDescent="0.45">
      <c r="A6" s="50">
        <v>2</v>
      </c>
      <c r="B6" s="50">
        <v>1</v>
      </c>
      <c r="C6" s="50">
        <v>1</v>
      </c>
      <c r="D6" s="50">
        <v>1</v>
      </c>
      <c r="E6" s="50">
        <v>4</v>
      </c>
      <c r="F6" s="50">
        <v>24.59</v>
      </c>
      <c r="G6" s="50">
        <v>3.61</v>
      </c>
      <c r="I6" s="14" t="s">
        <v>36</v>
      </c>
      <c r="J6" s="49">
        <f>CORREL(B:B,G:G)</f>
        <v>9.7627499908010222E-3</v>
      </c>
      <c r="K6" s="14" t="s">
        <v>70</v>
      </c>
      <c r="T6"/>
    </row>
    <row r="7" spans="1:20" ht="18.5" x14ac:dyDescent="0.45">
      <c r="A7" s="50">
        <v>1</v>
      </c>
      <c r="B7" s="50">
        <v>1</v>
      </c>
      <c r="C7" s="50">
        <v>1</v>
      </c>
      <c r="D7" s="50">
        <v>1</v>
      </c>
      <c r="E7" s="50">
        <v>4</v>
      </c>
      <c r="F7" s="50">
        <v>25.29</v>
      </c>
      <c r="G7" s="50">
        <v>4.71</v>
      </c>
      <c r="I7" s="46" t="s">
        <v>37</v>
      </c>
      <c r="J7" s="48">
        <f>CORREL(D:D,G:G)</f>
        <v>-0.117596390271059</v>
      </c>
      <c r="K7" s="47" t="s">
        <v>65</v>
      </c>
      <c r="T7"/>
    </row>
    <row r="8" spans="1:20" ht="18.5" x14ac:dyDescent="0.45">
      <c r="A8" s="50">
        <v>1</v>
      </c>
      <c r="B8" s="50">
        <v>1</v>
      </c>
      <c r="C8" s="50">
        <v>1</v>
      </c>
      <c r="D8" s="50">
        <v>1</v>
      </c>
      <c r="E8" s="50">
        <v>2</v>
      </c>
      <c r="F8" s="50">
        <v>8.77</v>
      </c>
      <c r="G8" s="50">
        <v>2</v>
      </c>
      <c r="I8" s="14" t="s">
        <v>38</v>
      </c>
      <c r="J8" s="49">
        <f>CORREL(C:C,G:G)</f>
        <v>-0.11843030099970935</v>
      </c>
      <c r="K8" s="14" t="s">
        <v>68</v>
      </c>
      <c r="T8"/>
    </row>
    <row r="9" spans="1:20" ht="18.5" x14ac:dyDescent="0.45">
      <c r="A9" s="50">
        <v>1</v>
      </c>
      <c r="B9" s="50">
        <v>1</v>
      </c>
      <c r="C9" s="50">
        <v>1</v>
      </c>
      <c r="D9" s="50">
        <v>1</v>
      </c>
      <c r="E9" s="50">
        <v>4</v>
      </c>
      <c r="F9" s="50">
        <v>26.88</v>
      </c>
      <c r="G9" s="50">
        <v>3.12</v>
      </c>
      <c r="I9" s="46" t="s">
        <v>4</v>
      </c>
      <c r="J9" s="48">
        <f>CORREL(E:E,G:G)</f>
        <v>0.48840039467488378</v>
      </c>
      <c r="K9" s="47" t="s">
        <v>66</v>
      </c>
      <c r="T9"/>
    </row>
    <row r="10" spans="1:20" ht="18.5" x14ac:dyDescent="0.45">
      <c r="A10" s="50">
        <v>1</v>
      </c>
      <c r="B10" s="50">
        <v>1</v>
      </c>
      <c r="C10" s="50">
        <v>1</v>
      </c>
      <c r="D10" s="50">
        <v>1</v>
      </c>
      <c r="E10" s="50">
        <v>2</v>
      </c>
      <c r="F10" s="50">
        <v>15.04</v>
      </c>
      <c r="G10" s="50">
        <v>1.96</v>
      </c>
      <c r="I10" s="14" t="s">
        <v>5</v>
      </c>
      <c r="J10" s="49">
        <f>CORREL(F:F,G:G)</f>
        <v>0.6749978565456074</v>
      </c>
      <c r="K10" s="14" t="s">
        <v>67</v>
      </c>
      <c r="T10"/>
    </row>
    <row r="11" spans="1:20" ht="18.5" x14ac:dyDescent="0.35">
      <c r="A11" s="50">
        <v>1</v>
      </c>
      <c r="B11" s="50">
        <v>1</v>
      </c>
      <c r="C11" s="50">
        <v>1</v>
      </c>
      <c r="D11" s="50">
        <v>1</v>
      </c>
      <c r="E11" s="50">
        <v>2</v>
      </c>
      <c r="F11" s="50">
        <v>14.78</v>
      </c>
      <c r="G11" s="50">
        <v>3.23</v>
      </c>
      <c r="T11"/>
    </row>
    <row r="12" spans="1:20" ht="18.5" x14ac:dyDescent="0.35">
      <c r="A12" s="50">
        <v>1</v>
      </c>
      <c r="B12" s="50">
        <v>1</v>
      </c>
      <c r="C12" s="50">
        <v>1</v>
      </c>
      <c r="D12" s="50">
        <v>1</v>
      </c>
      <c r="E12" s="50">
        <v>2</v>
      </c>
      <c r="F12" s="50">
        <v>10.27</v>
      </c>
      <c r="G12" s="50">
        <v>1.71</v>
      </c>
      <c r="T12"/>
    </row>
    <row r="13" spans="1:20" ht="18.5" x14ac:dyDescent="0.35">
      <c r="A13" s="50">
        <v>2</v>
      </c>
      <c r="B13" s="50">
        <v>1</v>
      </c>
      <c r="C13" s="50">
        <v>1</v>
      </c>
      <c r="D13" s="50">
        <v>1</v>
      </c>
      <c r="E13" s="50">
        <v>4</v>
      </c>
      <c r="F13" s="50">
        <v>35.26</v>
      </c>
      <c r="G13" s="50">
        <v>5</v>
      </c>
      <c r="T13"/>
    </row>
    <row r="14" spans="1:20" ht="18.5" x14ac:dyDescent="0.35">
      <c r="A14" s="50">
        <v>1</v>
      </c>
      <c r="B14" s="50">
        <v>1</v>
      </c>
      <c r="C14" s="50">
        <v>1</v>
      </c>
      <c r="D14" s="50">
        <v>1</v>
      </c>
      <c r="E14" s="50">
        <v>2</v>
      </c>
      <c r="F14" s="50">
        <v>15.42</v>
      </c>
      <c r="G14" s="50">
        <v>1.57</v>
      </c>
      <c r="T14"/>
    </row>
    <row r="15" spans="1:20" ht="18.5" x14ac:dyDescent="0.35">
      <c r="A15" s="50">
        <v>1</v>
      </c>
      <c r="B15" s="50">
        <v>1</v>
      </c>
      <c r="C15" s="50">
        <v>1</v>
      </c>
      <c r="D15" s="50">
        <v>1</v>
      </c>
      <c r="E15" s="50">
        <v>4</v>
      </c>
      <c r="F15" s="50">
        <v>18.43</v>
      </c>
      <c r="G15" s="50">
        <v>3</v>
      </c>
      <c r="T15"/>
    </row>
    <row r="16" spans="1:20" ht="18.5" x14ac:dyDescent="0.35">
      <c r="A16" s="50">
        <v>2</v>
      </c>
      <c r="B16" s="50">
        <v>1</v>
      </c>
      <c r="C16" s="50">
        <v>1</v>
      </c>
      <c r="D16" s="50">
        <v>1</v>
      </c>
      <c r="E16" s="50">
        <v>2</v>
      </c>
      <c r="F16" s="50">
        <v>14.83</v>
      </c>
      <c r="G16" s="50">
        <v>3.02</v>
      </c>
      <c r="T16"/>
    </row>
    <row r="17" spans="1:20" ht="18.5" x14ac:dyDescent="0.35">
      <c r="A17" s="50">
        <v>1</v>
      </c>
      <c r="B17" s="50">
        <v>1</v>
      </c>
      <c r="C17" s="50">
        <v>1</v>
      </c>
      <c r="D17" s="50">
        <v>1</v>
      </c>
      <c r="E17" s="50">
        <v>2</v>
      </c>
      <c r="F17" s="50">
        <v>21.58</v>
      </c>
      <c r="G17" s="50">
        <v>3.92</v>
      </c>
      <c r="T17"/>
    </row>
    <row r="18" spans="1:20" ht="18.5" x14ac:dyDescent="0.35">
      <c r="A18" s="50">
        <v>2</v>
      </c>
      <c r="B18" s="50">
        <v>1</v>
      </c>
      <c r="C18" s="50">
        <v>1</v>
      </c>
      <c r="D18" s="50">
        <v>1</v>
      </c>
      <c r="E18" s="50">
        <v>3</v>
      </c>
      <c r="F18" s="50">
        <v>10.33</v>
      </c>
      <c r="G18" s="50">
        <v>1.67</v>
      </c>
      <c r="T18"/>
    </row>
    <row r="19" spans="1:20" ht="18.5" x14ac:dyDescent="0.35">
      <c r="A19" s="50">
        <v>1</v>
      </c>
      <c r="B19" s="50">
        <v>1</v>
      </c>
      <c r="C19" s="50">
        <v>1</v>
      </c>
      <c r="D19" s="50">
        <v>1</v>
      </c>
      <c r="E19" s="50">
        <v>3</v>
      </c>
      <c r="F19" s="50">
        <v>16.29</v>
      </c>
      <c r="G19" s="50">
        <v>3.71</v>
      </c>
      <c r="T19"/>
    </row>
    <row r="20" spans="1:20" ht="18.5" x14ac:dyDescent="0.35">
      <c r="A20" s="50">
        <v>2</v>
      </c>
      <c r="B20" s="50">
        <v>1</v>
      </c>
      <c r="C20" s="50">
        <v>1</v>
      </c>
      <c r="D20" s="50">
        <v>1</v>
      </c>
      <c r="E20" s="50">
        <v>3</v>
      </c>
      <c r="F20" s="50">
        <v>16.97</v>
      </c>
      <c r="G20" s="50">
        <v>3.5</v>
      </c>
      <c r="T20"/>
    </row>
    <row r="21" spans="1:20" ht="18.5" x14ac:dyDescent="0.35">
      <c r="A21" s="50">
        <v>1</v>
      </c>
      <c r="B21" s="50">
        <v>1</v>
      </c>
      <c r="C21" s="50">
        <v>3</v>
      </c>
      <c r="D21" s="50">
        <v>1</v>
      </c>
      <c r="E21" s="50">
        <v>3</v>
      </c>
      <c r="F21" s="50">
        <v>20.65</v>
      </c>
      <c r="G21" s="50">
        <v>3.35</v>
      </c>
      <c r="T21"/>
    </row>
    <row r="22" spans="1:20" ht="18.5" x14ac:dyDescent="0.35">
      <c r="A22" s="50">
        <v>1</v>
      </c>
      <c r="B22" s="50">
        <v>1</v>
      </c>
      <c r="C22" s="50">
        <v>3</v>
      </c>
      <c r="D22" s="50">
        <v>1</v>
      </c>
      <c r="E22" s="50">
        <v>2</v>
      </c>
      <c r="F22" s="50">
        <v>17.920000000000002</v>
      </c>
      <c r="G22" s="50">
        <v>4.08</v>
      </c>
      <c r="T22"/>
    </row>
    <row r="23" spans="1:20" ht="18.5" x14ac:dyDescent="0.35">
      <c r="A23" s="50">
        <v>2</v>
      </c>
      <c r="B23" s="50">
        <v>1</v>
      </c>
      <c r="C23" s="50">
        <v>3</v>
      </c>
      <c r="D23" s="50">
        <v>1</v>
      </c>
      <c r="E23" s="50">
        <v>2</v>
      </c>
      <c r="F23" s="50">
        <v>20.29</v>
      </c>
      <c r="G23" s="50">
        <v>2.75</v>
      </c>
      <c r="T23"/>
    </row>
    <row r="24" spans="1:20" ht="18.5" x14ac:dyDescent="0.35">
      <c r="A24" s="50">
        <v>2</v>
      </c>
      <c r="B24" s="50">
        <v>1</v>
      </c>
      <c r="C24" s="50">
        <v>3</v>
      </c>
      <c r="D24" s="50">
        <v>1</v>
      </c>
      <c r="E24" s="50">
        <v>2</v>
      </c>
      <c r="F24" s="50">
        <v>15.77</v>
      </c>
      <c r="G24" s="50">
        <v>2.23</v>
      </c>
      <c r="T24"/>
    </row>
    <row r="25" spans="1:20" ht="18.5" x14ac:dyDescent="0.35">
      <c r="A25" s="50">
        <v>1</v>
      </c>
      <c r="B25" s="50">
        <v>1</v>
      </c>
      <c r="C25" s="50">
        <v>3</v>
      </c>
      <c r="D25" s="50">
        <v>1</v>
      </c>
      <c r="E25" s="50">
        <v>4</v>
      </c>
      <c r="F25" s="50">
        <v>39.42</v>
      </c>
      <c r="G25" s="50">
        <v>7.58</v>
      </c>
      <c r="T25"/>
    </row>
    <row r="26" spans="1:20" ht="18.5" x14ac:dyDescent="0.35">
      <c r="A26" s="50">
        <v>1</v>
      </c>
      <c r="B26" s="50">
        <v>1</v>
      </c>
      <c r="C26" s="50">
        <v>3</v>
      </c>
      <c r="D26" s="50">
        <v>1</v>
      </c>
      <c r="E26" s="50">
        <v>2</v>
      </c>
      <c r="F26" s="50">
        <v>19.82</v>
      </c>
      <c r="G26" s="50">
        <v>3.18</v>
      </c>
      <c r="T26"/>
    </row>
    <row r="27" spans="1:20" ht="18.5" x14ac:dyDescent="0.35">
      <c r="A27" s="50">
        <v>1</v>
      </c>
      <c r="B27" s="50">
        <v>1</v>
      </c>
      <c r="C27" s="50">
        <v>3</v>
      </c>
      <c r="D27" s="50">
        <v>1</v>
      </c>
      <c r="E27" s="50">
        <v>4</v>
      </c>
      <c r="F27" s="50">
        <v>17.809999999999999</v>
      </c>
      <c r="G27" s="50">
        <v>2.34</v>
      </c>
      <c r="T27"/>
    </row>
    <row r="28" spans="1:20" ht="18.5" x14ac:dyDescent="0.35">
      <c r="A28" s="50">
        <v>1</v>
      </c>
      <c r="B28" s="50">
        <v>1</v>
      </c>
      <c r="C28" s="50">
        <v>3</v>
      </c>
      <c r="D28" s="50">
        <v>1</v>
      </c>
      <c r="E28" s="50">
        <v>2</v>
      </c>
      <c r="F28" s="50">
        <v>13.37</v>
      </c>
      <c r="G28" s="50">
        <v>2</v>
      </c>
      <c r="T28"/>
    </row>
    <row r="29" spans="1:20" ht="18.5" x14ac:dyDescent="0.35">
      <c r="A29" s="50">
        <v>1</v>
      </c>
      <c r="B29" s="50">
        <v>1</v>
      </c>
      <c r="C29" s="50">
        <v>3</v>
      </c>
      <c r="D29" s="50">
        <v>1</v>
      </c>
      <c r="E29" s="50">
        <v>2</v>
      </c>
      <c r="F29" s="50">
        <v>12.69</v>
      </c>
      <c r="G29" s="50">
        <v>2</v>
      </c>
      <c r="T29"/>
    </row>
    <row r="30" spans="1:20" ht="18.5" x14ac:dyDescent="0.35">
      <c r="A30" s="50">
        <v>1</v>
      </c>
      <c r="B30" s="50">
        <v>1</v>
      </c>
      <c r="C30" s="50">
        <v>3</v>
      </c>
      <c r="D30" s="50">
        <v>1</v>
      </c>
      <c r="E30" s="50">
        <v>2</v>
      </c>
      <c r="F30" s="50">
        <v>21.7</v>
      </c>
      <c r="G30" s="50">
        <v>4.3</v>
      </c>
      <c r="T30"/>
    </row>
    <row r="31" spans="1:20" ht="18.5" x14ac:dyDescent="0.35">
      <c r="A31" s="50">
        <v>2</v>
      </c>
      <c r="B31" s="50">
        <v>1</v>
      </c>
      <c r="C31" s="50">
        <v>3</v>
      </c>
      <c r="D31" s="50">
        <v>1</v>
      </c>
      <c r="E31" s="50">
        <v>2</v>
      </c>
      <c r="F31" s="50">
        <v>19.649999999999999</v>
      </c>
      <c r="G31" s="50">
        <v>3</v>
      </c>
      <c r="T31"/>
    </row>
    <row r="32" spans="1:20" ht="18.5" x14ac:dyDescent="0.35">
      <c r="A32" s="50">
        <v>1</v>
      </c>
      <c r="B32" s="50">
        <v>1</v>
      </c>
      <c r="C32" s="50">
        <v>3</v>
      </c>
      <c r="D32" s="50">
        <v>1</v>
      </c>
      <c r="E32" s="50">
        <v>2</v>
      </c>
      <c r="F32" s="50">
        <v>9.5500000000000007</v>
      </c>
      <c r="G32" s="50">
        <v>1.45</v>
      </c>
      <c r="T32"/>
    </row>
    <row r="33" spans="1:20" ht="18.5" x14ac:dyDescent="0.35">
      <c r="A33" s="50">
        <v>1</v>
      </c>
      <c r="B33" s="50">
        <v>1</v>
      </c>
      <c r="C33" s="50">
        <v>3</v>
      </c>
      <c r="D33" s="50">
        <v>1</v>
      </c>
      <c r="E33" s="50">
        <v>4</v>
      </c>
      <c r="F33" s="50">
        <v>18.350000000000001</v>
      </c>
      <c r="G33" s="50">
        <v>2.5</v>
      </c>
      <c r="T33"/>
    </row>
    <row r="34" spans="1:20" ht="18.5" x14ac:dyDescent="0.35">
      <c r="A34" s="50">
        <v>2</v>
      </c>
      <c r="B34" s="50">
        <v>1</v>
      </c>
      <c r="C34" s="50">
        <v>3</v>
      </c>
      <c r="D34" s="50">
        <v>1</v>
      </c>
      <c r="E34" s="50">
        <v>2</v>
      </c>
      <c r="F34" s="50">
        <v>15.06</v>
      </c>
      <c r="G34" s="50">
        <v>3</v>
      </c>
      <c r="T34"/>
    </row>
    <row r="35" spans="1:20" ht="18.5" x14ac:dyDescent="0.35">
      <c r="A35" s="50">
        <v>2</v>
      </c>
      <c r="B35" s="50">
        <v>1</v>
      </c>
      <c r="C35" s="50">
        <v>3</v>
      </c>
      <c r="D35" s="50">
        <v>1</v>
      </c>
      <c r="E35" s="50">
        <v>4</v>
      </c>
      <c r="F35" s="50">
        <v>20.69</v>
      </c>
      <c r="G35" s="50">
        <v>2.4500000000000002</v>
      </c>
      <c r="T35"/>
    </row>
    <row r="36" spans="1:20" ht="18.5" x14ac:dyDescent="0.35">
      <c r="A36" s="50">
        <v>1</v>
      </c>
      <c r="B36" s="50">
        <v>1</v>
      </c>
      <c r="C36" s="50">
        <v>3</v>
      </c>
      <c r="D36" s="50">
        <v>1</v>
      </c>
      <c r="E36" s="50">
        <v>2</v>
      </c>
      <c r="F36" s="50">
        <v>17.78</v>
      </c>
      <c r="G36" s="50">
        <v>3.27</v>
      </c>
      <c r="T36"/>
    </row>
    <row r="37" spans="1:20" ht="18.5" x14ac:dyDescent="0.35">
      <c r="A37" s="50">
        <v>1</v>
      </c>
      <c r="B37" s="50">
        <v>1</v>
      </c>
      <c r="C37" s="50">
        <v>3</v>
      </c>
      <c r="D37" s="50">
        <v>1</v>
      </c>
      <c r="E37" s="50">
        <v>3</v>
      </c>
      <c r="F37" s="50">
        <v>24.06</v>
      </c>
      <c r="G37" s="50">
        <v>3.6</v>
      </c>
      <c r="T37"/>
    </row>
    <row r="38" spans="1:20" ht="18.5" x14ac:dyDescent="0.35">
      <c r="A38" s="50">
        <v>1</v>
      </c>
      <c r="B38" s="50">
        <v>1</v>
      </c>
      <c r="C38" s="50">
        <v>3</v>
      </c>
      <c r="D38" s="50">
        <v>1</v>
      </c>
      <c r="E38" s="50">
        <v>3</v>
      </c>
      <c r="F38" s="50">
        <v>16.309999999999999</v>
      </c>
      <c r="G38" s="50">
        <v>2</v>
      </c>
      <c r="T38"/>
    </row>
    <row r="39" spans="1:20" ht="18.5" x14ac:dyDescent="0.35">
      <c r="A39" s="50">
        <v>2</v>
      </c>
      <c r="B39" s="50">
        <v>1</v>
      </c>
      <c r="C39" s="50">
        <v>3</v>
      </c>
      <c r="D39" s="50">
        <v>1</v>
      </c>
      <c r="E39" s="50">
        <v>3</v>
      </c>
      <c r="F39" s="50">
        <v>16.93</v>
      </c>
      <c r="G39" s="50">
        <v>3.07</v>
      </c>
      <c r="T39"/>
    </row>
    <row r="40" spans="1:20" ht="18.5" x14ac:dyDescent="0.35">
      <c r="A40" s="50">
        <v>1</v>
      </c>
      <c r="B40" s="50">
        <v>1</v>
      </c>
      <c r="C40" s="50">
        <v>3</v>
      </c>
      <c r="D40" s="50">
        <v>1</v>
      </c>
      <c r="E40" s="50">
        <v>3</v>
      </c>
      <c r="F40" s="50">
        <v>18.690000000000001</v>
      </c>
      <c r="G40" s="50">
        <v>2.31</v>
      </c>
      <c r="T40"/>
    </row>
    <row r="41" spans="1:20" ht="18.5" x14ac:dyDescent="0.35">
      <c r="A41" s="50">
        <v>1</v>
      </c>
      <c r="B41" s="50">
        <v>1</v>
      </c>
      <c r="C41" s="50">
        <v>3</v>
      </c>
      <c r="D41" s="50">
        <v>1</v>
      </c>
      <c r="E41" s="50">
        <v>3</v>
      </c>
      <c r="F41" s="50">
        <v>31.27</v>
      </c>
      <c r="G41" s="50">
        <v>5</v>
      </c>
      <c r="T41"/>
    </row>
    <row r="42" spans="1:20" ht="18.5" x14ac:dyDescent="0.35">
      <c r="A42" s="50">
        <v>1</v>
      </c>
      <c r="B42" s="50">
        <v>1</v>
      </c>
      <c r="C42" s="50">
        <v>3</v>
      </c>
      <c r="D42" s="50">
        <v>1</v>
      </c>
      <c r="E42" s="50">
        <v>3</v>
      </c>
      <c r="F42" s="50">
        <v>16.04</v>
      </c>
      <c r="G42" s="50">
        <v>2.2400000000000002</v>
      </c>
      <c r="T42"/>
    </row>
    <row r="43" spans="1:20" ht="18.5" x14ac:dyDescent="0.35">
      <c r="A43" s="50">
        <v>1</v>
      </c>
      <c r="B43" s="50">
        <v>1</v>
      </c>
      <c r="C43" s="50">
        <v>1</v>
      </c>
      <c r="D43" s="50">
        <v>1</v>
      </c>
      <c r="E43" s="50">
        <v>2</v>
      </c>
      <c r="F43" s="50">
        <v>17.46</v>
      </c>
      <c r="G43" s="50">
        <v>2.54</v>
      </c>
      <c r="T43"/>
    </row>
    <row r="44" spans="1:20" ht="18.5" x14ac:dyDescent="0.35">
      <c r="A44" s="50">
        <v>1</v>
      </c>
      <c r="B44" s="50">
        <v>1</v>
      </c>
      <c r="C44" s="50">
        <v>1</v>
      </c>
      <c r="D44" s="50">
        <v>1</v>
      </c>
      <c r="E44" s="50">
        <v>2</v>
      </c>
      <c r="F44" s="50">
        <v>13.94</v>
      </c>
      <c r="G44" s="50">
        <v>3.06</v>
      </c>
      <c r="T44"/>
    </row>
    <row r="45" spans="1:20" ht="18.5" x14ac:dyDescent="0.35">
      <c r="A45" s="50">
        <v>1</v>
      </c>
      <c r="B45" s="50">
        <v>1</v>
      </c>
      <c r="C45" s="50">
        <v>1</v>
      </c>
      <c r="D45" s="50">
        <v>1</v>
      </c>
      <c r="E45" s="50">
        <v>2</v>
      </c>
      <c r="F45" s="50">
        <v>9.68</v>
      </c>
      <c r="G45" s="50">
        <v>1.32</v>
      </c>
      <c r="T45"/>
    </row>
    <row r="46" spans="1:20" ht="18.5" x14ac:dyDescent="0.35">
      <c r="A46" s="50">
        <v>1</v>
      </c>
      <c r="B46" s="50">
        <v>1</v>
      </c>
      <c r="C46" s="50">
        <v>1</v>
      </c>
      <c r="D46" s="50">
        <v>1</v>
      </c>
      <c r="E46" s="50">
        <v>4</v>
      </c>
      <c r="F46" s="50">
        <v>30.4</v>
      </c>
      <c r="G46" s="50">
        <v>5.6</v>
      </c>
      <c r="T46"/>
    </row>
    <row r="47" spans="1:20" ht="18.5" x14ac:dyDescent="0.35">
      <c r="A47" s="50">
        <v>1</v>
      </c>
      <c r="B47" s="50">
        <v>1</v>
      </c>
      <c r="C47" s="50">
        <v>1</v>
      </c>
      <c r="D47" s="50">
        <v>1</v>
      </c>
      <c r="E47" s="50">
        <v>2</v>
      </c>
      <c r="F47" s="50">
        <v>18.29</v>
      </c>
      <c r="G47" s="50">
        <v>3</v>
      </c>
      <c r="T47"/>
    </row>
    <row r="48" spans="1:20" ht="18.5" x14ac:dyDescent="0.35">
      <c r="A48" s="50">
        <v>1</v>
      </c>
      <c r="B48" s="50">
        <v>1</v>
      </c>
      <c r="C48" s="50">
        <v>1</v>
      </c>
      <c r="D48" s="50">
        <v>1</v>
      </c>
      <c r="E48" s="50">
        <v>2</v>
      </c>
      <c r="F48" s="50">
        <v>22.23</v>
      </c>
      <c r="G48" s="50">
        <v>5</v>
      </c>
      <c r="T48"/>
    </row>
    <row r="49" spans="1:20" ht="18.5" x14ac:dyDescent="0.35">
      <c r="A49" s="50">
        <v>1</v>
      </c>
      <c r="B49" s="50">
        <v>1</v>
      </c>
      <c r="C49" s="50">
        <v>1</v>
      </c>
      <c r="D49" s="50">
        <v>1</v>
      </c>
      <c r="E49" s="50">
        <v>4</v>
      </c>
      <c r="F49" s="50">
        <v>32.4</v>
      </c>
      <c r="G49" s="50">
        <v>6</v>
      </c>
      <c r="T49"/>
    </row>
    <row r="50" spans="1:20" ht="18.5" x14ac:dyDescent="0.35">
      <c r="A50" s="50">
        <v>1</v>
      </c>
      <c r="B50" s="50">
        <v>1</v>
      </c>
      <c r="C50" s="50">
        <v>1</v>
      </c>
      <c r="D50" s="50">
        <v>1</v>
      </c>
      <c r="E50" s="50">
        <v>3</v>
      </c>
      <c r="F50" s="50">
        <v>28.55</v>
      </c>
      <c r="G50" s="50">
        <v>2.0499999999999998</v>
      </c>
      <c r="T50"/>
    </row>
    <row r="51" spans="1:20" ht="18.5" x14ac:dyDescent="0.35">
      <c r="A51" s="50">
        <v>1</v>
      </c>
      <c r="B51" s="50">
        <v>1</v>
      </c>
      <c r="C51" s="50">
        <v>1</v>
      </c>
      <c r="D51" s="50">
        <v>1</v>
      </c>
      <c r="E51" s="50">
        <v>2</v>
      </c>
      <c r="F51" s="50">
        <v>18.04</v>
      </c>
      <c r="G51" s="50">
        <v>3</v>
      </c>
      <c r="T51"/>
    </row>
    <row r="52" spans="1:20" ht="18.5" x14ac:dyDescent="0.35">
      <c r="A52" s="50">
        <v>1</v>
      </c>
      <c r="B52" s="50">
        <v>1</v>
      </c>
      <c r="C52" s="50">
        <v>1</v>
      </c>
      <c r="D52" s="50">
        <v>1</v>
      </c>
      <c r="E52" s="50">
        <v>2</v>
      </c>
      <c r="F52" s="50">
        <v>12.54</v>
      </c>
      <c r="G52" s="50">
        <v>2.5</v>
      </c>
      <c r="T52"/>
    </row>
    <row r="53" spans="1:20" ht="18.5" x14ac:dyDescent="0.35">
      <c r="A53" s="50">
        <v>2</v>
      </c>
      <c r="B53" s="50">
        <v>1</v>
      </c>
      <c r="C53" s="50">
        <v>1</v>
      </c>
      <c r="D53" s="50">
        <v>1</v>
      </c>
      <c r="E53" s="50">
        <v>2</v>
      </c>
      <c r="F53" s="50">
        <v>10.29</v>
      </c>
      <c r="G53" s="50">
        <v>2.6</v>
      </c>
      <c r="T53"/>
    </row>
    <row r="54" spans="1:20" ht="18.5" x14ac:dyDescent="0.35">
      <c r="A54" s="50">
        <v>2</v>
      </c>
      <c r="B54" s="50">
        <v>1</v>
      </c>
      <c r="C54" s="50">
        <v>1</v>
      </c>
      <c r="D54" s="50">
        <v>1</v>
      </c>
      <c r="E54" s="50">
        <v>4</v>
      </c>
      <c r="F54" s="50">
        <v>34.81</v>
      </c>
      <c r="G54" s="50">
        <v>5.2</v>
      </c>
      <c r="T54"/>
    </row>
    <row r="55" spans="1:20" ht="18.5" x14ac:dyDescent="0.35">
      <c r="A55" s="50">
        <v>1</v>
      </c>
      <c r="B55" s="50">
        <v>1</v>
      </c>
      <c r="C55" s="50">
        <v>1</v>
      </c>
      <c r="D55" s="50">
        <v>1</v>
      </c>
      <c r="E55" s="50">
        <v>2</v>
      </c>
      <c r="F55" s="50">
        <v>9.94</v>
      </c>
      <c r="G55" s="50">
        <v>1.56</v>
      </c>
      <c r="T55"/>
    </row>
    <row r="56" spans="1:20" ht="18.5" x14ac:dyDescent="0.35">
      <c r="A56" s="50">
        <v>1</v>
      </c>
      <c r="B56" s="50">
        <v>1</v>
      </c>
      <c r="C56" s="50">
        <v>1</v>
      </c>
      <c r="D56" s="50">
        <v>1</v>
      </c>
      <c r="E56" s="50">
        <v>4</v>
      </c>
      <c r="F56" s="50">
        <v>25.56</v>
      </c>
      <c r="G56" s="50">
        <v>4.34</v>
      </c>
      <c r="T56"/>
    </row>
    <row r="57" spans="1:20" ht="18.5" x14ac:dyDescent="0.35">
      <c r="A57" s="50">
        <v>1</v>
      </c>
      <c r="B57" s="50">
        <v>1</v>
      </c>
      <c r="C57" s="50">
        <v>1</v>
      </c>
      <c r="D57" s="50">
        <v>1</v>
      </c>
      <c r="E57" s="50">
        <v>2</v>
      </c>
      <c r="F57" s="50">
        <v>19.489999999999998</v>
      </c>
      <c r="G57" s="50">
        <v>3.51</v>
      </c>
      <c r="T57"/>
    </row>
    <row r="58" spans="1:20" ht="18.5" x14ac:dyDescent="0.35">
      <c r="A58" s="50">
        <v>1</v>
      </c>
      <c r="B58" s="50">
        <v>2</v>
      </c>
      <c r="C58" s="50">
        <v>3</v>
      </c>
      <c r="D58" s="50">
        <v>1</v>
      </c>
      <c r="E58" s="50">
        <v>4</v>
      </c>
      <c r="F58" s="50">
        <v>38.01</v>
      </c>
      <c r="G58" s="50">
        <v>3</v>
      </c>
      <c r="T58"/>
    </row>
    <row r="59" spans="1:20" ht="18.5" x14ac:dyDescent="0.35">
      <c r="A59" s="50">
        <v>2</v>
      </c>
      <c r="B59" s="50">
        <v>1</v>
      </c>
      <c r="C59" s="50">
        <v>3</v>
      </c>
      <c r="D59" s="50">
        <v>1</v>
      </c>
      <c r="E59" s="50">
        <v>2</v>
      </c>
      <c r="F59" s="50">
        <v>26.41</v>
      </c>
      <c r="G59" s="50">
        <v>1.5</v>
      </c>
      <c r="T59"/>
    </row>
    <row r="60" spans="1:20" ht="18.5" x14ac:dyDescent="0.35">
      <c r="A60" s="50">
        <v>1</v>
      </c>
      <c r="B60" s="50">
        <v>2</v>
      </c>
      <c r="C60" s="50">
        <v>3</v>
      </c>
      <c r="D60" s="50">
        <v>1</v>
      </c>
      <c r="E60" s="50">
        <v>2</v>
      </c>
      <c r="F60" s="50">
        <v>11.24</v>
      </c>
      <c r="G60" s="50">
        <v>1.76</v>
      </c>
      <c r="T60"/>
    </row>
    <row r="61" spans="1:20" ht="18.5" x14ac:dyDescent="0.35">
      <c r="A61" s="50">
        <v>1</v>
      </c>
      <c r="B61" s="50">
        <v>1</v>
      </c>
      <c r="C61" s="50">
        <v>3</v>
      </c>
      <c r="D61" s="50">
        <v>1</v>
      </c>
      <c r="E61" s="50">
        <v>4</v>
      </c>
      <c r="F61" s="50">
        <v>48.27</v>
      </c>
      <c r="G61" s="50">
        <v>6.73</v>
      </c>
      <c r="T61"/>
    </row>
    <row r="62" spans="1:20" ht="18.5" x14ac:dyDescent="0.35">
      <c r="A62" s="50">
        <v>1</v>
      </c>
      <c r="B62" s="50">
        <v>2</v>
      </c>
      <c r="C62" s="50">
        <v>3</v>
      </c>
      <c r="D62" s="50">
        <v>1</v>
      </c>
      <c r="E62" s="50">
        <v>2</v>
      </c>
      <c r="F62" s="50">
        <v>20.29</v>
      </c>
      <c r="G62" s="50">
        <v>3.21</v>
      </c>
      <c r="T62"/>
    </row>
    <row r="63" spans="1:20" ht="18.5" x14ac:dyDescent="0.35">
      <c r="A63" s="50">
        <v>1</v>
      </c>
      <c r="B63" s="50">
        <v>2</v>
      </c>
      <c r="C63" s="50">
        <v>3</v>
      </c>
      <c r="D63" s="50">
        <v>1</v>
      </c>
      <c r="E63" s="50">
        <v>2</v>
      </c>
      <c r="F63" s="50">
        <v>13.81</v>
      </c>
      <c r="G63" s="50">
        <v>2</v>
      </c>
      <c r="T63"/>
    </row>
    <row r="64" spans="1:20" ht="18.5" x14ac:dyDescent="0.35">
      <c r="A64" s="50">
        <v>1</v>
      </c>
      <c r="B64" s="50">
        <v>2</v>
      </c>
      <c r="C64" s="50">
        <v>3</v>
      </c>
      <c r="D64" s="50">
        <v>1</v>
      </c>
      <c r="E64" s="50">
        <v>2</v>
      </c>
      <c r="F64" s="50">
        <v>11.02</v>
      </c>
      <c r="G64" s="50">
        <v>1.98</v>
      </c>
      <c r="T64"/>
    </row>
    <row r="65" spans="1:20" ht="18.5" x14ac:dyDescent="0.35">
      <c r="A65" s="50">
        <v>1</v>
      </c>
      <c r="B65" s="50">
        <v>2</v>
      </c>
      <c r="C65" s="50">
        <v>3</v>
      </c>
      <c r="D65" s="50">
        <v>1</v>
      </c>
      <c r="E65" s="50">
        <v>4</v>
      </c>
      <c r="F65" s="50">
        <v>18.29</v>
      </c>
      <c r="G65" s="50">
        <v>3.76</v>
      </c>
      <c r="T65"/>
    </row>
    <row r="66" spans="1:20" ht="18.5" x14ac:dyDescent="0.35">
      <c r="A66" s="50">
        <v>1</v>
      </c>
      <c r="B66" s="50">
        <v>1</v>
      </c>
      <c r="C66" s="50">
        <v>3</v>
      </c>
      <c r="D66" s="50">
        <v>1</v>
      </c>
      <c r="E66" s="50">
        <v>3</v>
      </c>
      <c r="F66" s="50">
        <v>17.59</v>
      </c>
      <c r="G66" s="50">
        <v>2.64</v>
      </c>
      <c r="T66"/>
    </row>
    <row r="67" spans="1:20" ht="18.5" x14ac:dyDescent="0.35">
      <c r="A67" s="50">
        <v>1</v>
      </c>
      <c r="B67" s="50">
        <v>1</v>
      </c>
      <c r="C67" s="50">
        <v>3</v>
      </c>
      <c r="D67" s="50">
        <v>1</v>
      </c>
      <c r="E67" s="50">
        <v>3</v>
      </c>
      <c r="F67" s="50">
        <v>20.079999999999998</v>
      </c>
      <c r="G67" s="50">
        <v>3.15</v>
      </c>
      <c r="T67"/>
    </row>
    <row r="68" spans="1:20" ht="18.5" x14ac:dyDescent="0.35">
      <c r="A68" s="50">
        <v>2</v>
      </c>
      <c r="B68" s="50">
        <v>1</v>
      </c>
      <c r="C68" s="50">
        <v>3</v>
      </c>
      <c r="D68" s="50">
        <v>1</v>
      </c>
      <c r="E68" s="50">
        <v>2</v>
      </c>
      <c r="F68" s="50">
        <v>16.45</v>
      </c>
      <c r="G68" s="50">
        <v>2.4700000000000002</v>
      </c>
      <c r="T68"/>
    </row>
    <row r="69" spans="1:20" ht="18.5" x14ac:dyDescent="0.35">
      <c r="A69" s="50">
        <v>2</v>
      </c>
      <c r="B69" s="50">
        <v>2</v>
      </c>
      <c r="C69" s="50">
        <v>3</v>
      </c>
      <c r="D69" s="50">
        <v>1</v>
      </c>
      <c r="E69" s="50">
        <v>1</v>
      </c>
      <c r="F69" s="50">
        <v>3.07</v>
      </c>
      <c r="G69" s="50">
        <v>1</v>
      </c>
      <c r="T69"/>
    </row>
    <row r="70" spans="1:20" ht="18.5" x14ac:dyDescent="0.35">
      <c r="A70" s="50">
        <v>1</v>
      </c>
      <c r="B70" s="50">
        <v>1</v>
      </c>
      <c r="C70" s="50">
        <v>3</v>
      </c>
      <c r="D70" s="50">
        <v>1</v>
      </c>
      <c r="E70" s="50">
        <v>2</v>
      </c>
      <c r="F70" s="50">
        <v>20.23</v>
      </c>
      <c r="G70" s="50">
        <v>2.0099999999999998</v>
      </c>
      <c r="T70"/>
    </row>
    <row r="71" spans="1:20" ht="18.5" x14ac:dyDescent="0.35">
      <c r="A71" s="50">
        <v>1</v>
      </c>
      <c r="B71" s="50">
        <v>2</v>
      </c>
      <c r="C71" s="50">
        <v>3</v>
      </c>
      <c r="D71" s="50">
        <v>1</v>
      </c>
      <c r="E71" s="50">
        <v>2</v>
      </c>
      <c r="F71" s="50">
        <v>15.01</v>
      </c>
      <c r="G71" s="50">
        <v>2.09</v>
      </c>
      <c r="T71"/>
    </row>
    <row r="72" spans="1:20" ht="18.5" x14ac:dyDescent="0.35">
      <c r="A72" s="50">
        <v>1</v>
      </c>
      <c r="B72" s="50">
        <v>1</v>
      </c>
      <c r="C72" s="50">
        <v>3</v>
      </c>
      <c r="D72" s="50">
        <v>1</v>
      </c>
      <c r="E72" s="50">
        <v>2</v>
      </c>
      <c r="F72" s="50">
        <v>12.02</v>
      </c>
      <c r="G72" s="50">
        <v>1.97</v>
      </c>
      <c r="T72"/>
    </row>
    <row r="73" spans="1:20" ht="18.5" x14ac:dyDescent="0.35">
      <c r="A73" s="50">
        <v>2</v>
      </c>
      <c r="B73" s="50">
        <v>1</v>
      </c>
      <c r="C73" s="50">
        <v>3</v>
      </c>
      <c r="D73" s="50">
        <v>1</v>
      </c>
      <c r="E73" s="50">
        <v>3</v>
      </c>
      <c r="F73" s="50">
        <v>17.07</v>
      </c>
      <c r="G73" s="50">
        <v>3</v>
      </c>
      <c r="T73"/>
    </row>
    <row r="74" spans="1:20" ht="18.5" x14ac:dyDescent="0.35">
      <c r="A74" s="50">
        <v>2</v>
      </c>
      <c r="B74" s="50">
        <v>2</v>
      </c>
      <c r="C74" s="50">
        <v>3</v>
      </c>
      <c r="D74" s="50">
        <v>1</v>
      </c>
      <c r="E74" s="50">
        <v>2</v>
      </c>
      <c r="F74" s="50">
        <v>26.86</v>
      </c>
      <c r="G74" s="50">
        <v>3.14</v>
      </c>
      <c r="T74"/>
    </row>
    <row r="75" spans="1:20" ht="18.5" x14ac:dyDescent="0.35">
      <c r="A75" s="50">
        <v>2</v>
      </c>
      <c r="B75" s="50">
        <v>2</v>
      </c>
      <c r="C75" s="50">
        <v>3</v>
      </c>
      <c r="D75" s="50">
        <v>1</v>
      </c>
      <c r="E75" s="50">
        <v>2</v>
      </c>
      <c r="F75" s="50">
        <v>25.28</v>
      </c>
      <c r="G75" s="50">
        <v>5</v>
      </c>
      <c r="T75"/>
    </row>
    <row r="76" spans="1:20" ht="18.5" x14ac:dyDescent="0.35">
      <c r="A76" s="50">
        <v>2</v>
      </c>
      <c r="B76" s="50">
        <v>1</v>
      </c>
      <c r="C76" s="50">
        <v>3</v>
      </c>
      <c r="D76" s="50">
        <v>1</v>
      </c>
      <c r="E76" s="50">
        <v>2</v>
      </c>
      <c r="F76" s="50">
        <v>14.73</v>
      </c>
      <c r="G76" s="50">
        <v>2.2000000000000002</v>
      </c>
      <c r="T76"/>
    </row>
    <row r="77" spans="1:20" ht="18.5" x14ac:dyDescent="0.35">
      <c r="A77" s="50">
        <v>1</v>
      </c>
      <c r="B77" s="50">
        <v>1</v>
      </c>
      <c r="C77" s="50">
        <v>3</v>
      </c>
      <c r="D77" s="50">
        <v>1</v>
      </c>
      <c r="E77" s="50">
        <v>2</v>
      </c>
      <c r="F77" s="50">
        <v>10.51</v>
      </c>
      <c r="G77" s="50">
        <v>1.25</v>
      </c>
      <c r="T77"/>
    </row>
    <row r="78" spans="1:20" ht="18.5" x14ac:dyDescent="0.35">
      <c r="A78" s="50">
        <v>1</v>
      </c>
      <c r="B78" s="50">
        <v>2</v>
      </c>
      <c r="C78" s="50">
        <v>3</v>
      </c>
      <c r="D78" s="50">
        <v>1</v>
      </c>
      <c r="E78" s="50">
        <v>2</v>
      </c>
      <c r="F78" s="50">
        <v>17.920000000000002</v>
      </c>
      <c r="G78" s="50">
        <v>3.08</v>
      </c>
      <c r="T78"/>
    </row>
    <row r="79" spans="1:20" ht="18.5" x14ac:dyDescent="0.35">
      <c r="A79" s="50">
        <v>1</v>
      </c>
      <c r="B79" s="50">
        <v>1</v>
      </c>
      <c r="C79" s="50">
        <v>4</v>
      </c>
      <c r="D79" s="50">
        <v>2</v>
      </c>
      <c r="E79" s="50">
        <v>4</v>
      </c>
      <c r="F79" s="50">
        <v>27.2</v>
      </c>
      <c r="G79" s="50">
        <v>4</v>
      </c>
      <c r="T79"/>
    </row>
    <row r="80" spans="1:20" ht="18.5" x14ac:dyDescent="0.35">
      <c r="A80" s="50">
        <v>1</v>
      </c>
      <c r="B80" s="50">
        <v>1</v>
      </c>
      <c r="C80" s="50">
        <v>4</v>
      </c>
      <c r="D80" s="50">
        <v>2</v>
      </c>
      <c r="E80" s="50">
        <v>2</v>
      </c>
      <c r="F80" s="50">
        <v>22.76</v>
      </c>
      <c r="G80" s="50">
        <v>3</v>
      </c>
      <c r="T80"/>
    </row>
    <row r="81" spans="1:20" ht="18.5" x14ac:dyDescent="0.35">
      <c r="A81" s="50">
        <v>1</v>
      </c>
      <c r="B81" s="50">
        <v>1</v>
      </c>
      <c r="C81" s="50">
        <v>4</v>
      </c>
      <c r="D81" s="50">
        <v>2</v>
      </c>
      <c r="E81" s="50">
        <v>2</v>
      </c>
      <c r="F81" s="50">
        <v>17.29</v>
      </c>
      <c r="G81" s="50">
        <v>2.71</v>
      </c>
      <c r="T81"/>
    </row>
    <row r="82" spans="1:20" ht="18.5" x14ac:dyDescent="0.35">
      <c r="A82" s="50">
        <v>1</v>
      </c>
      <c r="B82" s="50">
        <v>2</v>
      </c>
      <c r="C82" s="50">
        <v>4</v>
      </c>
      <c r="D82" s="50">
        <v>2</v>
      </c>
      <c r="E82" s="50">
        <v>2</v>
      </c>
      <c r="F82" s="50">
        <v>19.440000000000001</v>
      </c>
      <c r="G82" s="50">
        <v>3</v>
      </c>
      <c r="T82"/>
    </row>
    <row r="83" spans="1:20" ht="18.5" x14ac:dyDescent="0.35">
      <c r="A83" s="50">
        <v>1</v>
      </c>
      <c r="B83" s="50">
        <v>1</v>
      </c>
      <c r="C83" s="50">
        <v>4</v>
      </c>
      <c r="D83" s="50">
        <v>2</v>
      </c>
      <c r="E83" s="50">
        <v>2</v>
      </c>
      <c r="F83" s="50">
        <v>16.66</v>
      </c>
      <c r="G83" s="50">
        <v>3.4</v>
      </c>
      <c r="T83"/>
    </row>
    <row r="84" spans="1:20" ht="18.5" x14ac:dyDescent="0.35">
      <c r="A84" s="50">
        <v>2</v>
      </c>
      <c r="B84" s="50">
        <v>1</v>
      </c>
      <c r="C84" s="50">
        <v>4</v>
      </c>
      <c r="D84" s="50">
        <v>2</v>
      </c>
      <c r="E84" s="50">
        <v>1</v>
      </c>
      <c r="F84" s="50">
        <v>10.07</v>
      </c>
      <c r="G84" s="50">
        <v>1.83</v>
      </c>
      <c r="T84"/>
    </row>
    <row r="85" spans="1:20" ht="18.5" x14ac:dyDescent="0.35">
      <c r="A85" s="50">
        <v>1</v>
      </c>
      <c r="B85" s="50">
        <v>2</v>
      </c>
      <c r="C85" s="50">
        <v>4</v>
      </c>
      <c r="D85" s="50">
        <v>2</v>
      </c>
      <c r="E85" s="50">
        <v>2</v>
      </c>
      <c r="F85" s="50">
        <v>32.68</v>
      </c>
      <c r="G85" s="50">
        <v>5</v>
      </c>
      <c r="T85"/>
    </row>
    <row r="86" spans="1:20" ht="18.5" x14ac:dyDescent="0.35">
      <c r="A86" s="50">
        <v>1</v>
      </c>
      <c r="B86" s="50">
        <v>1</v>
      </c>
      <c r="C86" s="50">
        <v>4</v>
      </c>
      <c r="D86" s="50">
        <v>2</v>
      </c>
      <c r="E86" s="50">
        <v>2</v>
      </c>
      <c r="F86" s="50">
        <v>15.98</v>
      </c>
      <c r="G86" s="50">
        <v>2.0299999999999998</v>
      </c>
      <c r="T86"/>
    </row>
    <row r="87" spans="1:20" ht="18.5" x14ac:dyDescent="0.35">
      <c r="A87" s="50">
        <v>2</v>
      </c>
      <c r="B87" s="50">
        <v>1</v>
      </c>
      <c r="C87" s="50">
        <v>4</v>
      </c>
      <c r="D87" s="50">
        <v>2</v>
      </c>
      <c r="E87" s="50">
        <v>4</v>
      </c>
      <c r="F87" s="50">
        <v>34.83</v>
      </c>
      <c r="G87" s="50">
        <v>5.17</v>
      </c>
      <c r="T87"/>
    </row>
    <row r="88" spans="1:20" ht="18.5" x14ac:dyDescent="0.35">
      <c r="A88" s="50">
        <v>1</v>
      </c>
      <c r="B88" s="50">
        <v>1</v>
      </c>
      <c r="C88" s="50">
        <v>4</v>
      </c>
      <c r="D88" s="50">
        <v>2</v>
      </c>
      <c r="E88" s="50">
        <v>2</v>
      </c>
      <c r="F88" s="50">
        <v>13.03</v>
      </c>
      <c r="G88" s="50">
        <v>2</v>
      </c>
      <c r="T88"/>
    </row>
    <row r="89" spans="1:20" ht="18.5" x14ac:dyDescent="0.35">
      <c r="A89" s="50">
        <v>1</v>
      </c>
      <c r="B89" s="50">
        <v>1</v>
      </c>
      <c r="C89" s="50">
        <v>4</v>
      </c>
      <c r="D89" s="50">
        <v>2</v>
      </c>
      <c r="E89" s="50">
        <v>2</v>
      </c>
      <c r="F89" s="50">
        <v>18.28</v>
      </c>
      <c r="G89" s="50">
        <v>4</v>
      </c>
      <c r="T89"/>
    </row>
    <row r="90" spans="1:20" ht="18.5" x14ac:dyDescent="0.35">
      <c r="A90" s="50">
        <v>1</v>
      </c>
      <c r="B90" s="50">
        <v>1</v>
      </c>
      <c r="C90" s="50">
        <v>4</v>
      </c>
      <c r="D90" s="50">
        <v>2</v>
      </c>
      <c r="E90" s="50">
        <v>2</v>
      </c>
      <c r="F90" s="50">
        <v>24.71</v>
      </c>
      <c r="G90" s="50">
        <v>5.85</v>
      </c>
      <c r="T90"/>
    </row>
    <row r="91" spans="1:20" ht="18.5" x14ac:dyDescent="0.35">
      <c r="A91" s="50">
        <v>1</v>
      </c>
      <c r="B91" s="50">
        <v>1</v>
      </c>
      <c r="C91" s="50">
        <v>4</v>
      </c>
      <c r="D91" s="50">
        <v>2</v>
      </c>
      <c r="E91" s="50">
        <v>2</v>
      </c>
      <c r="F91" s="50">
        <v>21.16</v>
      </c>
      <c r="G91" s="50">
        <v>3</v>
      </c>
      <c r="T91"/>
    </row>
    <row r="92" spans="1:20" ht="18.5" x14ac:dyDescent="0.35">
      <c r="A92" s="50">
        <v>1</v>
      </c>
      <c r="B92" s="50">
        <v>2</v>
      </c>
      <c r="C92" s="50">
        <v>2</v>
      </c>
      <c r="D92" s="50">
        <v>1</v>
      </c>
      <c r="E92" s="50">
        <v>2</v>
      </c>
      <c r="F92" s="50">
        <v>28.97</v>
      </c>
      <c r="G92" s="50">
        <v>3</v>
      </c>
      <c r="T92"/>
    </row>
    <row r="93" spans="1:20" ht="18.5" x14ac:dyDescent="0.35">
      <c r="A93" s="50">
        <v>1</v>
      </c>
      <c r="B93" s="50">
        <v>1</v>
      </c>
      <c r="C93" s="50">
        <v>2</v>
      </c>
      <c r="D93" s="50">
        <v>1</v>
      </c>
      <c r="E93" s="50">
        <v>2</v>
      </c>
      <c r="F93" s="50">
        <v>22.49</v>
      </c>
      <c r="G93" s="50">
        <v>3.5</v>
      </c>
      <c r="T93"/>
    </row>
    <row r="94" spans="1:20" ht="18.5" x14ac:dyDescent="0.35">
      <c r="A94" s="50">
        <v>2</v>
      </c>
      <c r="B94" s="50">
        <v>2</v>
      </c>
      <c r="C94" s="50">
        <v>2</v>
      </c>
      <c r="D94" s="50">
        <v>1</v>
      </c>
      <c r="E94" s="50">
        <v>2</v>
      </c>
      <c r="F94" s="50">
        <v>5.75</v>
      </c>
      <c r="G94" s="50">
        <v>1</v>
      </c>
      <c r="T94"/>
    </row>
    <row r="95" spans="1:20" ht="18.5" x14ac:dyDescent="0.35">
      <c r="A95" s="50">
        <v>2</v>
      </c>
      <c r="B95" s="50">
        <v>2</v>
      </c>
      <c r="C95" s="50">
        <v>2</v>
      </c>
      <c r="D95" s="50">
        <v>1</v>
      </c>
      <c r="E95" s="50">
        <v>2</v>
      </c>
      <c r="F95" s="50">
        <v>16.32</v>
      </c>
      <c r="G95" s="50">
        <v>4.3</v>
      </c>
      <c r="T95"/>
    </row>
    <row r="96" spans="1:20" ht="18.5" x14ac:dyDescent="0.35">
      <c r="A96" s="50">
        <v>2</v>
      </c>
      <c r="B96" s="50">
        <v>1</v>
      </c>
      <c r="C96" s="50">
        <v>2</v>
      </c>
      <c r="D96" s="50">
        <v>1</v>
      </c>
      <c r="E96" s="50">
        <v>2</v>
      </c>
      <c r="F96" s="50">
        <v>22.75</v>
      </c>
      <c r="G96" s="50">
        <v>3.25</v>
      </c>
      <c r="T96"/>
    </row>
    <row r="97" spans="1:20" ht="18.5" x14ac:dyDescent="0.35">
      <c r="A97" s="50">
        <v>1</v>
      </c>
      <c r="B97" s="50">
        <v>2</v>
      </c>
      <c r="C97" s="50">
        <v>2</v>
      </c>
      <c r="D97" s="50">
        <v>1</v>
      </c>
      <c r="E97" s="50">
        <v>4</v>
      </c>
      <c r="F97" s="50">
        <v>40.17</v>
      </c>
      <c r="G97" s="50">
        <v>4.7300000000000004</v>
      </c>
      <c r="T97"/>
    </row>
    <row r="98" spans="1:20" ht="18.5" x14ac:dyDescent="0.35">
      <c r="A98" s="50">
        <v>1</v>
      </c>
      <c r="B98" s="50">
        <v>2</v>
      </c>
      <c r="C98" s="50">
        <v>2</v>
      </c>
      <c r="D98" s="50">
        <v>1</v>
      </c>
      <c r="E98" s="50">
        <v>2</v>
      </c>
      <c r="F98" s="50">
        <v>27.28</v>
      </c>
      <c r="G98" s="50">
        <v>4</v>
      </c>
      <c r="T98"/>
    </row>
    <row r="99" spans="1:20" ht="18.5" x14ac:dyDescent="0.35">
      <c r="A99" s="50">
        <v>1</v>
      </c>
      <c r="B99" s="50">
        <v>2</v>
      </c>
      <c r="C99" s="50">
        <v>2</v>
      </c>
      <c r="D99" s="50">
        <v>1</v>
      </c>
      <c r="E99" s="50">
        <v>2</v>
      </c>
      <c r="F99" s="50">
        <v>12.03</v>
      </c>
      <c r="G99" s="50">
        <v>1.5</v>
      </c>
      <c r="T99"/>
    </row>
    <row r="100" spans="1:20" ht="18.5" x14ac:dyDescent="0.35">
      <c r="A100" s="50">
        <v>1</v>
      </c>
      <c r="B100" s="50">
        <v>2</v>
      </c>
      <c r="C100" s="50">
        <v>2</v>
      </c>
      <c r="D100" s="50">
        <v>1</v>
      </c>
      <c r="E100" s="50">
        <v>2</v>
      </c>
      <c r="F100" s="50">
        <v>21.01</v>
      </c>
      <c r="G100" s="50">
        <v>3</v>
      </c>
      <c r="T100"/>
    </row>
    <row r="101" spans="1:20" ht="18.5" x14ac:dyDescent="0.35">
      <c r="A101" s="50">
        <v>1</v>
      </c>
      <c r="B101" s="50">
        <v>1</v>
      </c>
      <c r="C101" s="50">
        <v>2</v>
      </c>
      <c r="D101" s="50">
        <v>1</v>
      </c>
      <c r="E101" s="50">
        <v>2</v>
      </c>
      <c r="F101" s="50">
        <v>12.46</v>
      </c>
      <c r="G101" s="50">
        <v>1.5</v>
      </c>
      <c r="T101"/>
    </row>
    <row r="102" spans="1:20" ht="18.5" x14ac:dyDescent="0.35">
      <c r="A102" s="50">
        <v>2</v>
      </c>
      <c r="B102" s="50">
        <v>2</v>
      </c>
      <c r="C102" s="50">
        <v>2</v>
      </c>
      <c r="D102" s="50">
        <v>1</v>
      </c>
      <c r="E102" s="50">
        <v>2</v>
      </c>
      <c r="F102" s="50">
        <v>11.35</v>
      </c>
      <c r="G102" s="50">
        <v>2.5</v>
      </c>
      <c r="T102"/>
    </row>
    <row r="103" spans="1:20" ht="18.5" x14ac:dyDescent="0.35">
      <c r="A103" s="50">
        <v>2</v>
      </c>
      <c r="B103" s="50">
        <v>2</v>
      </c>
      <c r="C103" s="50">
        <v>2</v>
      </c>
      <c r="D103" s="50">
        <v>1</v>
      </c>
      <c r="E103" s="50">
        <v>2</v>
      </c>
      <c r="F103" s="50">
        <v>15.38</v>
      </c>
      <c r="G103" s="50">
        <v>3</v>
      </c>
      <c r="T103"/>
    </row>
    <row r="104" spans="1:20" ht="18.5" x14ac:dyDescent="0.35">
      <c r="A104" s="50">
        <v>2</v>
      </c>
      <c r="B104" s="50">
        <v>2</v>
      </c>
      <c r="C104" s="50">
        <v>3</v>
      </c>
      <c r="D104" s="50">
        <v>1</v>
      </c>
      <c r="E104" s="50">
        <v>3</v>
      </c>
      <c r="F104" s="50">
        <v>44.3</v>
      </c>
      <c r="G104" s="50">
        <v>2.5</v>
      </c>
      <c r="T104"/>
    </row>
    <row r="105" spans="1:20" ht="18.5" x14ac:dyDescent="0.35">
      <c r="A105" s="50">
        <v>2</v>
      </c>
      <c r="B105" s="50">
        <v>2</v>
      </c>
      <c r="C105" s="50">
        <v>3</v>
      </c>
      <c r="D105" s="50">
        <v>1</v>
      </c>
      <c r="E105" s="50">
        <v>2</v>
      </c>
      <c r="F105" s="50">
        <v>22.42</v>
      </c>
      <c r="G105" s="50">
        <v>3.48</v>
      </c>
      <c r="T105"/>
    </row>
    <row r="106" spans="1:20" ht="18.5" x14ac:dyDescent="0.35">
      <c r="A106" s="50">
        <v>2</v>
      </c>
      <c r="B106" s="50">
        <v>1</v>
      </c>
      <c r="C106" s="50">
        <v>3</v>
      </c>
      <c r="D106" s="50">
        <v>1</v>
      </c>
      <c r="E106" s="50">
        <v>2</v>
      </c>
      <c r="F106" s="50">
        <v>20.92</v>
      </c>
      <c r="G106" s="50">
        <v>4.08</v>
      </c>
      <c r="T106"/>
    </row>
    <row r="107" spans="1:20" ht="18.5" x14ac:dyDescent="0.35">
      <c r="A107" s="50">
        <v>1</v>
      </c>
      <c r="B107" s="50">
        <v>2</v>
      </c>
      <c r="C107" s="50">
        <v>3</v>
      </c>
      <c r="D107" s="50">
        <v>1</v>
      </c>
      <c r="E107" s="50">
        <v>2</v>
      </c>
      <c r="F107" s="50">
        <v>15.36</v>
      </c>
      <c r="G107" s="50">
        <v>1.64</v>
      </c>
      <c r="T107"/>
    </row>
    <row r="108" spans="1:20" ht="18.5" x14ac:dyDescent="0.35">
      <c r="A108" s="50">
        <v>1</v>
      </c>
      <c r="B108" s="50">
        <v>2</v>
      </c>
      <c r="C108" s="50">
        <v>3</v>
      </c>
      <c r="D108" s="50">
        <v>1</v>
      </c>
      <c r="E108" s="50">
        <v>2</v>
      </c>
      <c r="F108" s="50">
        <v>20.49</v>
      </c>
      <c r="G108" s="50">
        <v>4.0599999999999996</v>
      </c>
      <c r="T108"/>
    </row>
    <row r="109" spans="1:20" ht="18.5" x14ac:dyDescent="0.35">
      <c r="A109" s="50">
        <v>1</v>
      </c>
      <c r="B109" s="50">
        <v>2</v>
      </c>
      <c r="C109" s="50">
        <v>3</v>
      </c>
      <c r="D109" s="50">
        <v>1</v>
      </c>
      <c r="E109" s="50">
        <v>2</v>
      </c>
      <c r="F109" s="50">
        <v>25.21</v>
      </c>
      <c r="G109" s="50">
        <v>4.29</v>
      </c>
      <c r="T109"/>
    </row>
    <row r="110" spans="1:20" ht="18.5" x14ac:dyDescent="0.35">
      <c r="A110" s="50">
        <v>1</v>
      </c>
      <c r="B110" s="50">
        <v>1</v>
      </c>
      <c r="C110" s="50">
        <v>3</v>
      </c>
      <c r="D110" s="50">
        <v>1</v>
      </c>
      <c r="E110" s="50">
        <v>2</v>
      </c>
      <c r="F110" s="50">
        <v>18.239999999999998</v>
      </c>
      <c r="G110" s="50">
        <v>3.76</v>
      </c>
      <c r="T110"/>
    </row>
    <row r="111" spans="1:20" ht="18.5" x14ac:dyDescent="0.35">
      <c r="A111" s="50">
        <v>2</v>
      </c>
      <c r="B111" s="50">
        <v>2</v>
      </c>
      <c r="C111" s="50">
        <v>3</v>
      </c>
      <c r="D111" s="50">
        <v>1</v>
      </c>
      <c r="E111" s="50">
        <v>2</v>
      </c>
      <c r="F111" s="50">
        <v>14.31</v>
      </c>
      <c r="G111" s="50">
        <v>4</v>
      </c>
      <c r="T111"/>
    </row>
    <row r="112" spans="1:20" ht="18.5" x14ac:dyDescent="0.35">
      <c r="A112" s="50">
        <v>1</v>
      </c>
      <c r="B112" s="50">
        <v>1</v>
      </c>
      <c r="C112" s="50">
        <v>3</v>
      </c>
      <c r="D112" s="50">
        <v>1</v>
      </c>
      <c r="E112" s="50">
        <v>2</v>
      </c>
      <c r="F112" s="50">
        <v>14</v>
      </c>
      <c r="G112" s="50">
        <v>3</v>
      </c>
      <c r="T112"/>
    </row>
    <row r="113" spans="1:20" ht="18.5" x14ac:dyDescent="0.35">
      <c r="A113" s="50">
        <v>2</v>
      </c>
      <c r="B113" s="50">
        <v>1</v>
      </c>
      <c r="C113" s="50">
        <v>3</v>
      </c>
      <c r="D113" s="50">
        <v>1</v>
      </c>
      <c r="E113" s="50">
        <v>1</v>
      </c>
      <c r="F113" s="50">
        <v>7.25</v>
      </c>
      <c r="G113" s="50">
        <v>1</v>
      </c>
      <c r="T113"/>
    </row>
    <row r="114" spans="1:20" ht="18.5" x14ac:dyDescent="0.35">
      <c r="A114" s="50">
        <v>1</v>
      </c>
      <c r="B114" s="50">
        <v>1</v>
      </c>
      <c r="C114" s="50">
        <v>1</v>
      </c>
      <c r="D114" s="50">
        <v>1</v>
      </c>
      <c r="E114" s="50">
        <v>3</v>
      </c>
      <c r="F114" s="50">
        <v>38.07</v>
      </c>
      <c r="G114" s="50">
        <v>4</v>
      </c>
      <c r="T114"/>
    </row>
    <row r="115" spans="1:20" ht="18.5" x14ac:dyDescent="0.35">
      <c r="A115" s="50">
        <v>1</v>
      </c>
      <c r="B115" s="50">
        <v>1</v>
      </c>
      <c r="C115" s="50">
        <v>1</v>
      </c>
      <c r="D115" s="50">
        <v>1</v>
      </c>
      <c r="E115" s="50">
        <v>2</v>
      </c>
      <c r="F115" s="50">
        <v>23.95</v>
      </c>
      <c r="G115" s="50">
        <v>2.5499999999999998</v>
      </c>
      <c r="T115"/>
    </row>
    <row r="116" spans="1:20" ht="18.5" x14ac:dyDescent="0.35">
      <c r="A116" s="50">
        <v>2</v>
      </c>
      <c r="B116" s="50">
        <v>1</v>
      </c>
      <c r="C116" s="50">
        <v>1</v>
      </c>
      <c r="D116" s="50">
        <v>1</v>
      </c>
      <c r="E116" s="50">
        <v>3</v>
      </c>
      <c r="F116" s="50">
        <v>25.71</v>
      </c>
      <c r="G116" s="50">
        <v>4</v>
      </c>
      <c r="T116"/>
    </row>
    <row r="117" spans="1:20" ht="18.5" x14ac:dyDescent="0.35">
      <c r="A117" s="50">
        <v>2</v>
      </c>
      <c r="B117" s="50">
        <v>1</v>
      </c>
      <c r="C117" s="50">
        <v>1</v>
      </c>
      <c r="D117" s="50">
        <v>1</v>
      </c>
      <c r="E117" s="50">
        <v>2</v>
      </c>
      <c r="F117" s="50">
        <v>17.309999999999999</v>
      </c>
      <c r="G117" s="50">
        <v>3.5</v>
      </c>
      <c r="T117"/>
    </row>
    <row r="118" spans="1:20" ht="18.5" x14ac:dyDescent="0.35">
      <c r="A118" s="50">
        <v>1</v>
      </c>
      <c r="B118" s="50">
        <v>1</v>
      </c>
      <c r="C118" s="50">
        <v>1</v>
      </c>
      <c r="D118" s="50">
        <v>1</v>
      </c>
      <c r="E118" s="50">
        <v>4</v>
      </c>
      <c r="F118" s="50">
        <v>29.93</v>
      </c>
      <c r="G118" s="50">
        <v>5.07</v>
      </c>
      <c r="T118"/>
    </row>
    <row r="119" spans="1:20" ht="18.5" x14ac:dyDescent="0.35">
      <c r="A119" s="50">
        <v>2</v>
      </c>
      <c r="B119" s="50">
        <v>1</v>
      </c>
      <c r="C119" s="50">
        <v>4</v>
      </c>
      <c r="D119" s="50">
        <v>2</v>
      </c>
      <c r="E119" s="50">
        <v>2</v>
      </c>
      <c r="F119" s="50">
        <v>10.65</v>
      </c>
      <c r="G119" s="50">
        <v>1.5</v>
      </c>
      <c r="T119"/>
    </row>
    <row r="120" spans="1:20" ht="18.5" x14ac:dyDescent="0.35">
      <c r="A120" s="50">
        <v>2</v>
      </c>
      <c r="B120" s="50">
        <v>1</v>
      </c>
      <c r="C120" s="50">
        <v>4</v>
      </c>
      <c r="D120" s="50">
        <v>2</v>
      </c>
      <c r="E120" s="50">
        <v>2</v>
      </c>
      <c r="F120" s="50">
        <v>12.43</v>
      </c>
      <c r="G120" s="50">
        <v>1.8</v>
      </c>
      <c r="T120"/>
    </row>
    <row r="121" spans="1:20" ht="18.5" x14ac:dyDescent="0.35">
      <c r="A121" s="50">
        <v>2</v>
      </c>
      <c r="B121" s="50">
        <v>1</v>
      </c>
      <c r="C121" s="50">
        <v>4</v>
      </c>
      <c r="D121" s="50">
        <v>2</v>
      </c>
      <c r="E121" s="50">
        <v>4</v>
      </c>
      <c r="F121" s="50">
        <v>24.08</v>
      </c>
      <c r="G121" s="50">
        <v>2.92</v>
      </c>
      <c r="T121"/>
    </row>
    <row r="122" spans="1:20" ht="18.5" x14ac:dyDescent="0.35">
      <c r="A122" s="50">
        <v>1</v>
      </c>
      <c r="B122" s="50">
        <v>1</v>
      </c>
      <c r="C122" s="50">
        <v>4</v>
      </c>
      <c r="D122" s="50">
        <v>2</v>
      </c>
      <c r="E122" s="50">
        <v>2</v>
      </c>
      <c r="F122" s="50">
        <v>11.69</v>
      </c>
      <c r="G122" s="50">
        <v>2.31</v>
      </c>
      <c r="T122"/>
    </row>
    <row r="123" spans="1:20" ht="18.5" x14ac:dyDescent="0.35">
      <c r="A123" s="50">
        <v>2</v>
      </c>
      <c r="B123" s="50">
        <v>1</v>
      </c>
      <c r="C123" s="50">
        <v>4</v>
      </c>
      <c r="D123" s="50">
        <v>2</v>
      </c>
      <c r="E123" s="50">
        <v>2</v>
      </c>
      <c r="F123" s="50">
        <v>13.42</v>
      </c>
      <c r="G123" s="50">
        <v>1.68</v>
      </c>
      <c r="T123"/>
    </row>
    <row r="124" spans="1:20" ht="18.5" x14ac:dyDescent="0.35">
      <c r="A124" s="50">
        <v>1</v>
      </c>
      <c r="B124" s="50">
        <v>1</v>
      </c>
      <c r="C124" s="50">
        <v>4</v>
      </c>
      <c r="D124" s="50">
        <v>2</v>
      </c>
      <c r="E124" s="50">
        <v>2</v>
      </c>
      <c r="F124" s="50">
        <v>14.26</v>
      </c>
      <c r="G124" s="50">
        <v>2.5</v>
      </c>
      <c r="T124"/>
    </row>
    <row r="125" spans="1:20" ht="18.5" x14ac:dyDescent="0.35">
      <c r="A125" s="50">
        <v>1</v>
      </c>
      <c r="B125" s="50">
        <v>1</v>
      </c>
      <c r="C125" s="50">
        <v>4</v>
      </c>
      <c r="D125" s="50">
        <v>2</v>
      </c>
      <c r="E125" s="50">
        <v>2</v>
      </c>
      <c r="F125" s="50">
        <v>15.95</v>
      </c>
      <c r="G125" s="50">
        <v>2</v>
      </c>
      <c r="T125"/>
    </row>
    <row r="126" spans="1:20" ht="18.5" x14ac:dyDescent="0.35">
      <c r="A126" s="50">
        <v>2</v>
      </c>
      <c r="B126" s="50">
        <v>1</v>
      </c>
      <c r="C126" s="50">
        <v>4</v>
      </c>
      <c r="D126" s="50">
        <v>2</v>
      </c>
      <c r="E126" s="50">
        <v>2</v>
      </c>
      <c r="F126" s="50">
        <v>12.48</v>
      </c>
      <c r="G126" s="50">
        <v>2.52</v>
      </c>
      <c r="T126"/>
    </row>
    <row r="127" spans="1:20" ht="18.5" x14ac:dyDescent="0.35">
      <c r="A127" s="50">
        <v>2</v>
      </c>
      <c r="B127" s="50">
        <v>1</v>
      </c>
      <c r="C127" s="50">
        <v>4</v>
      </c>
      <c r="D127" s="50">
        <v>2</v>
      </c>
      <c r="E127" s="50">
        <v>6</v>
      </c>
      <c r="F127" s="50">
        <v>29.8</v>
      </c>
      <c r="G127" s="50">
        <v>4.2</v>
      </c>
      <c r="T127"/>
    </row>
    <row r="128" spans="1:20" ht="18.5" x14ac:dyDescent="0.35">
      <c r="A128" s="50">
        <v>1</v>
      </c>
      <c r="B128" s="50">
        <v>1</v>
      </c>
      <c r="C128" s="50">
        <v>4</v>
      </c>
      <c r="D128" s="50">
        <v>2</v>
      </c>
      <c r="E128" s="50">
        <v>2</v>
      </c>
      <c r="F128" s="50">
        <v>8.52</v>
      </c>
      <c r="G128" s="50">
        <v>1.48</v>
      </c>
      <c r="T128"/>
    </row>
    <row r="129" spans="1:20" ht="18.5" x14ac:dyDescent="0.35">
      <c r="A129" s="50">
        <v>2</v>
      </c>
      <c r="B129" s="50">
        <v>1</v>
      </c>
      <c r="C129" s="50">
        <v>4</v>
      </c>
      <c r="D129" s="50">
        <v>2</v>
      </c>
      <c r="E129" s="50">
        <v>2</v>
      </c>
      <c r="F129" s="50">
        <v>14.52</v>
      </c>
      <c r="G129" s="50">
        <v>2</v>
      </c>
      <c r="T129"/>
    </row>
    <row r="130" spans="1:20" ht="18.5" x14ac:dyDescent="0.35">
      <c r="A130" s="50">
        <v>2</v>
      </c>
      <c r="B130" s="50">
        <v>1</v>
      </c>
      <c r="C130" s="50">
        <v>4</v>
      </c>
      <c r="D130" s="50">
        <v>2</v>
      </c>
      <c r="E130" s="50">
        <v>2</v>
      </c>
      <c r="F130" s="50">
        <v>11.38</v>
      </c>
      <c r="G130" s="50">
        <v>2</v>
      </c>
      <c r="T130"/>
    </row>
    <row r="131" spans="1:20" ht="18.5" x14ac:dyDescent="0.35">
      <c r="A131" s="50">
        <v>1</v>
      </c>
      <c r="B131" s="50">
        <v>1</v>
      </c>
      <c r="C131" s="50">
        <v>4</v>
      </c>
      <c r="D131" s="50">
        <v>2</v>
      </c>
      <c r="E131" s="50">
        <v>3</v>
      </c>
      <c r="F131" s="50">
        <v>22.82</v>
      </c>
      <c r="G131" s="50">
        <v>2.1800000000000002</v>
      </c>
      <c r="T131"/>
    </row>
    <row r="132" spans="1:20" ht="18.5" x14ac:dyDescent="0.35">
      <c r="A132" s="50">
        <v>1</v>
      </c>
      <c r="B132" s="50">
        <v>1</v>
      </c>
      <c r="C132" s="50">
        <v>4</v>
      </c>
      <c r="D132" s="50">
        <v>2</v>
      </c>
      <c r="E132" s="50">
        <v>2</v>
      </c>
      <c r="F132" s="50">
        <v>19.079999999999998</v>
      </c>
      <c r="G132" s="50">
        <v>1.5</v>
      </c>
      <c r="T132"/>
    </row>
    <row r="133" spans="1:20" ht="18.5" x14ac:dyDescent="0.35">
      <c r="A133" s="50">
        <v>2</v>
      </c>
      <c r="B133" s="50">
        <v>1</v>
      </c>
      <c r="C133" s="50">
        <v>4</v>
      </c>
      <c r="D133" s="50">
        <v>2</v>
      </c>
      <c r="E133" s="50">
        <v>2</v>
      </c>
      <c r="F133" s="50">
        <v>20.27</v>
      </c>
      <c r="G133" s="50">
        <v>2.83</v>
      </c>
      <c r="T133"/>
    </row>
    <row r="134" spans="1:20" ht="18.5" x14ac:dyDescent="0.35">
      <c r="A134" s="50">
        <v>2</v>
      </c>
      <c r="B134" s="50">
        <v>1</v>
      </c>
      <c r="C134" s="50">
        <v>4</v>
      </c>
      <c r="D134" s="50">
        <v>2</v>
      </c>
      <c r="E134" s="50">
        <v>2</v>
      </c>
      <c r="F134" s="50">
        <v>11.17</v>
      </c>
      <c r="G134" s="50">
        <v>1.5</v>
      </c>
      <c r="T134"/>
    </row>
    <row r="135" spans="1:20" ht="18.5" x14ac:dyDescent="0.35">
      <c r="A135" s="50">
        <v>2</v>
      </c>
      <c r="B135" s="50">
        <v>1</v>
      </c>
      <c r="C135" s="50">
        <v>4</v>
      </c>
      <c r="D135" s="50">
        <v>2</v>
      </c>
      <c r="E135" s="50">
        <v>2</v>
      </c>
      <c r="F135" s="50">
        <v>12.26</v>
      </c>
      <c r="G135" s="50">
        <v>2</v>
      </c>
      <c r="T135"/>
    </row>
    <row r="136" spans="1:20" ht="18.5" x14ac:dyDescent="0.35">
      <c r="A136" s="50">
        <v>2</v>
      </c>
      <c r="B136" s="50">
        <v>1</v>
      </c>
      <c r="C136" s="50">
        <v>4</v>
      </c>
      <c r="D136" s="50">
        <v>2</v>
      </c>
      <c r="E136" s="50">
        <v>2</v>
      </c>
      <c r="F136" s="50">
        <v>18.260000000000002</v>
      </c>
      <c r="G136" s="50">
        <v>3.25</v>
      </c>
      <c r="T136"/>
    </row>
    <row r="137" spans="1:20" ht="18.5" x14ac:dyDescent="0.35">
      <c r="A137" s="50">
        <v>2</v>
      </c>
      <c r="B137" s="50">
        <v>1</v>
      </c>
      <c r="C137" s="50">
        <v>4</v>
      </c>
      <c r="D137" s="50">
        <v>2</v>
      </c>
      <c r="E137" s="50">
        <v>2</v>
      </c>
      <c r="F137" s="50">
        <v>8.51</v>
      </c>
      <c r="G137" s="50">
        <v>1.25</v>
      </c>
      <c r="T137"/>
    </row>
    <row r="138" spans="1:20" ht="18.5" x14ac:dyDescent="0.35">
      <c r="A138" s="50">
        <v>2</v>
      </c>
      <c r="B138" s="50">
        <v>1</v>
      </c>
      <c r="C138" s="50">
        <v>4</v>
      </c>
      <c r="D138" s="50">
        <v>2</v>
      </c>
      <c r="E138" s="50">
        <v>2</v>
      </c>
      <c r="F138" s="50">
        <v>10.33</v>
      </c>
      <c r="G138" s="50">
        <v>2</v>
      </c>
      <c r="T138"/>
    </row>
    <row r="139" spans="1:20" ht="18.5" x14ac:dyDescent="0.35">
      <c r="A139" s="50">
        <v>2</v>
      </c>
      <c r="B139" s="50">
        <v>1</v>
      </c>
      <c r="C139" s="50">
        <v>4</v>
      </c>
      <c r="D139" s="50">
        <v>2</v>
      </c>
      <c r="E139" s="50">
        <v>2</v>
      </c>
      <c r="F139" s="50">
        <v>14.15</v>
      </c>
      <c r="G139" s="50">
        <v>2</v>
      </c>
      <c r="T139"/>
    </row>
    <row r="140" spans="1:20" ht="18.5" x14ac:dyDescent="0.35">
      <c r="A140" s="50">
        <v>1</v>
      </c>
      <c r="B140" s="50">
        <v>2</v>
      </c>
      <c r="C140" s="50">
        <v>4</v>
      </c>
      <c r="D140" s="50">
        <v>2</v>
      </c>
      <c r="E140" s="50">
        <v>2</v>
      </c>
      <c r="F140" s="50">
        <v>16</v>
      </c>
      <c r="G140" s="50">
        <v>2</v>
      </c>
      <c r="T140"/>
    </row>
    <row r="141" spans="1:20" ht="18.5" x14ac:dyDescent="0.35">
      <c r="A141" s="50">
        <v>2</v>
      </c>
      <c r="B141" s="50">
        <v>1</v>
      </c>
      <c r="C141" s="50">
        <v>4</v>
      </c>
      <c r="D141" s="50">
        <v>2</v>
      </c>
      <c r="E141" s="50">
        <v>2</v>
      </c>
      <c r="F141" s="50">
        <v>13.16</v>
      </c>
      <c r="G141" s="50">
        <v>2.75</v>
      </c>
      <c r="T141"/>
    </row>
    <row r="142" spans="1:20" ht="18.5" x14ac:dyDescent="0.35">
      <c r="A142" s="50">
        <v>2</v>
      </c>
      <c r="B142" s="50">
        <v>1</v>
      </c>
      <c r="C142" s="50">
        <v>4</v>
      </c>
      <c r="D142" s="50">
        <v>2</v>
      </c>
      <c r="E142" s="50">
        <v>2</v>
      </c>
      <c r="F142" s="50">
        <v>17.47</v>
      </c>
      <c r="G142" s="50">
        <v>3.5</v>
      </c>
      <c r="T142"/>
    </row>
    <row r="143" spans="1:20" ht="18.5" x14ac:dyDescent="0.35">
      <c r="A143" s="50">
        <v>1</v>
      </c>
      <c r="B143" s="50">
        <v>1</v>
      </c>
      <c r="C143" s="50">
        <v>4</v>
      </c>
      <c r="D143" s="50">
        <v>2</v>
      </c>
      <c r="E143" s="50">
        <v>6</v>
      </c>
      <c r="F143" s="50">
        <v>34.299999999999997</v>
      </c>
      <c r="G143" s="50">
        <v>6.7</v>
      </c>
      <c r="T143"/>
    </row>
    <row r="144" spans="1:20" ht="18.5" x14ac:dyDescent="0.35">
      <c r="A144" s="50">
        <v>1</v>
      </c>
      <c r="B144" s="50">
        <v>1</v>
      </c>
      <c r="C144" s="50">
        <v>4</v>
      </c>
      <c r="D144" s="50">
        <v>2</v>
      </c>
      <c r="E144" s="50">
        <v>5</v>
      </c>
      <c r="F144" s="50">
        <v>41.19</v>
      </c>
      <c r="G144" s="50">
        <v>5</v>
      </c>
      <c r="T144"/>
    </row>
    <row r="145" spans="1:20" ht="18.5" x14ac:dyDescent="0.35">
      <c r="A145" s="50">
        <v>2</v>
      </c>
      <c r="B145" s="50">
        <v>1</v>
      </c>
      <c r="C145" s="50">
        <v>4</v>
      </c>
      <c r="D145" s="50">
        <v>2</v>
      </c>
      <c r="E145" s="50">
        <v>6</v>
      </c>
      <c r="F145" s="50">
        <v>27.05</v>
      </c>
      <c r="G145" s="50">
        <v>5</v>
      </c>
      <c r="T145"/>
    </row>
    <row r="146" spans="1:20" ht="18.5" x14ac:dyDescent="0.35">
      <c r="A146" s="50">
        <v>2</v>
      </c>
      <c r="B146" s="50">
        <v>1</v>
      </c>
      <c r="C146" s="50">
        <v>4</v>
      </c>
      <c r="D146" s="50">
        <v>2</v>
      </c>
      <c r="E146" s="50">
        <v>2</v>
      </c>
      <c r="F146" s="50">
        <v>16.43</v>
      </c>
      <c r="G146" s="50">
        <v>2.2999999999999998</v>
      </c>
      <c r="T146"/>
    </row>
    <row r="147" spans="1:20" ht="18.5" x14ac:dyDescent="0.35">
      <c r="A147" s="50">
        <v>2</v>
      </c>
      <c r="B147" s="50">
        <v>1</v>
      </c>
      <c r="C147" s="50">
        <v>4</v>
      </c>
      <c r="D147" s="50">
        <v>2</v>
      </c>
      <c r="E147" s="50">
        <v>2</v>
      </c>
      <c r="F147" s="50">
        <v>8.35</v>
      </c>
      <c r="G147" s="50">
        <v>1.5</v>
      </c>
      <c r="T147"/>
    </row>
    <row r="148" spans="1:20" ht="18.5" x14ac:dyDescent="0.35">
      <c r="A148" s="50">
        <v>2</v>
      </c>
      <c r="B148" s="50">
        <v>1</v>
      </c>
      <c r="C148" s="50">
        <v>4</v>
      </c>
      <c r="D148" s="50">
        <v>2</v>
      </c>
      <c r="E148" s="50">
        <v>3</v>
      </c>
      <c r="F148" s="50">
        <v>18.64</v>
      </c>
      <c r="G148" s="50">
        <v>1.36</v>
      </c>
      <c r="T148"/>
    </row>
    <row r="149" spans="1:20" ht="18.5" x14ac:dyDescent="0.35">
      <c r="A149" s="50">
        <v>2</v>
      </c>
      <c r="B149" s="50">
        <v>1</v>
      </c>
      <c r="C149" s="50">
        <v>4</v>
      </c>
      <c r="D149" s="50">
        <v>2</v>
      </c>
      <c r="E149" s="50">
        <v>2</v>
      </c>
      <c r="F149" s="50">
        <v>11.87</v>
      </c>
      <c r="G149" s="50">
        <v>1.63</v>
      </c>
      <c r="T149"/>
    </row>
    <row r="150" spans="1:20" ht="18.5" x14ac:dyDescent="0.35">
      <c r="A150" s="50">
        <v>1</v>
      </c>
      <c r="B150" s="50">
        <v>1</v>
      </c>
      <c r="C150" s="50">
        <v>4</v>
      </c>
      <c r="D150" s="50">
        <v>2</v>
      </c>
      <c r="E150" s="50">
        <v>2</v>
      </c>
      <c r="F150" s="50">
        <v>9.7799999999999994</v>
      </c>
      <c r="G150" s="50">
        <v>1.73</v>
      </c>
      <c r="T150"/>
    </row>
    <row r="151" spans="1:20" ht="18.5" x14ac:dyDescent="0.35">
      <c r="A151" s="50">
        <v>1</v>
      </c>
      <c r="B151" s="50">
        <v>1</v>
      </c>
      <c r="C151" s="50">
        <v>4</v>
      </c>
      <c r="D151" s="50">
        <v>2</v>
      </c>
      <c r="E151" s="50">
        <v>2</v>
      </c>
      <c r="F151" s="50">
        <v>7.51</v>
      </c>
      <c r="G151" s="50">
        <v>2</v>
      </c>
      <c r="T151"/>
    </row>
    <row r="152" spans="1:20" ht="18.5" x14ac:dyDescent="0.35">
      <c r="A152" s="50">
        <v>1</v>
      </c>
      <c r="B152" s="50">
        <v>1</v>
      </c>
      <c r="C152" s="50">
        <v>1</v>
      </c>
      <c r="D152" s="50">
        <v>1</v>
      </c>
      <c r="E152" s="50">
        <v>2</v>
      </c>
      <c r="F152" s="50">
        <v>14.07</v>
      </c>
      <c r="G152" s="50">
        <v>2.5</v>
      </c>
      <c r="T152"/>
    </row>
    <row r="153" spans="1:20" ht="18.5" x14ac:dyDescent="0.35">
      <c r="A153" s="50">
        <v>1</v>
      </c>
      <c r="B153" s="50">
        <v>1</v>
      </c>
      <c r="C153" s="50">
        <v>1</v>
      </c>
      <c r="D153" s="50">
        <v>1</v>
      </c>
      <c r="E153" s="50">
        <v>2</v>
      </c>
      <c r="F153" s="50">
        <v>13.13</v>
      </c>
      <c r="G153" s="50">
        <v>2</v>
      </c>
      <c r="T153"/>
    </row>
    <row r="154" spans="1:20" ht="18.5" x14ac:dyDescent="0.35">
      <c r="A154" s="50">
        <v>1</v>
      </c>
      <c r="B154" s="50">
        <v>1</v>
      </c>
      <c r="C154" s="50">
        <v>1</v>
      </c>
      <c r="D154" s="50">
        <v>1</v>
      </c>
      <c r="E154" s="50">
        <v>3</v>
      </c>
      <c r="F154" s="50">
        <v>17.260000000000002</v>
      </c>
      <c r="G154" s="50">
        <v>2.74</v>
      </c>
      <c r="T154"/>
    </row>
    <row r="155" spans="1:20" ht="18.5" x14ac:dyDescent="0.35">
      <c r="A155" s="50">
        <v>1</v>
      </c>
      <c r="B155" s="50">
        <v>1</v>
      </c>
      <c r="C155" s="50">
        <v>1</v>
      </c>
      <c r="D155" s="50">
        <v>1</v>
      </c>
      <c r="E155" s="50">
        <v>4</v>
      </c>
      <c r="F155" s="50">
        <v>24.55</v>
      </c>
      <c r="G155" s="50">
        <v>2</v>
      </c>
      <c r="T155"/>
    </row>
    <row r="156" spans="1:20" ht="18.5" x14ac:dyDescent="0.35">
      <c r="A156" s="50">
        <v>1</v>
      </c>
      <c r="B156" s="50">
        <v>1</v>
      </c>
      <c r="C156" s="50">
        <v>1</v>
      </c>
      <c r="D156" s="50">
        <v>1</v>
      </c>
      <c r="E156" s="50">
        <v>4</v>
      </c>
      <c r="F156" s="50">
        <v>19.77</v>
      </c>
      <c r="G156" s="50">
        <v>2</v>
      </c>
      <c r="T156"/>
    </row>
    <row r="157" spans="1:20" ht="18.5" x14ac:dyDescent="0.35">
      <c r="A157" s="50">
        <v>2</v>
      </c>
      <c r="B157" s="50">
        <v>1</v>
      </c>
      <c r="C157" s="50">
        <v>1</v>
      </c>
      <c r="D157" s="50">
        <v>1</v>
      </c>
      <c r="E157" s="50">
        <v>5</v>
      </c>
      <c r="F157" s="50">
        <v>29.85</v>
      </c>
      <c r="G157" s="50">
        <v>5.14</v>
      </c>
      <c r="T157"/>
    </row>
    <row r="158" spans="1:20" ht="18.5" x14ac:dyDescent="0.35">
      <c r="A158" s="50">
        <v>1</v>
      </c>
      <c r="B158" s="50">
        <v>1</v>
      </c>
      <c r="C158" s="50">
        <v>1</v>
      </c>
      <c r="D158" s="50">
        <v>1</v>
      </c>
      <c r="E158" s="50">
        <v>6</v>
      </c>
      <c r="F158" s="50">
        <v>48.17</v>
      </c>
      <c r="G158" s="50">
        <v>5</v>
      </c>
      <c r="T158"/>
    </row>
    <row r="159" spans="1:20" ht="18.5" x14ac:dyDescent="0.35">
      <c r="A159" s="50">
        <v>2</v>
      </c>
      <c r="B159" s="50">
        <v>1</v>
      </c>
      <c r="C159" s="50">
        <v>1</v>
      </c>
      <c r="D159" s="50">
        <v>1</v>
      </c>
      <c r="E159" s="50">
        <v>4</v>
      </c>
      <c r="F159" s="50">
        <v>25</v>
      </c>
      <c r="G159" s="50">
        <v>3.75</v>
      </c>
      <c r="T159"/>
    </row>
    <row r="160" spans="1:20" ht="18.5" x14ac:dyDescent="0.35">
      <c r="A160" s="50">
        <v>2</v>
      </c>
      <c r="B160" s="50">
        <v>1</v>
      </c>
      <c r="C160" s="50">
        <v>1</v>
      </c>
      <c r="D160" s="50">
        <v>1</v>
      </c>
      <c r="E160" s="50">
        <v>2</v>
      </c>
      <c r="F160" s="50">
        <v>13.39</v>
      </c>
      <c r="G160" s="50">
        <v>2.61</v>
      </c>
      <c r="T160"/>
    </row>
    <row r="161" spans="1:20" ht="18.5" x14ac:dyDescent="0.35">
      <c r="A161" s="50">
        <v>1</v>
      </c>
      <c r="B161" s="50">
        <v>1</v>
      </c>
      <c r="C161" s="50">
        <v>1</v>
      </c>
      <c r="D161" s="50">
        <v>1</v>
      </c>
      <c r="E161" s="50">
        <v>4</v>
      </c>
      <c r="F161" s="50">
        <v>16.489999999999998</v>
      </c>
      <c r="G161" s="50">
        <v>2</v>
      </c>
      <c r="T161"/>
    </row>
    <row r="162" spans="1:20" ht="18.5" x14ac:dyDescent="0.35">
      <c r="A162" s="50">
        <v>1</v>
      </c>
      <c r="B162" s="50">
        <v>1</v>
      </c>
      <c r="C162" s="50">
        <v>1</v>
      </c>
      <c r="D162" s="50">
        <v>1</v>
      </c>
      <c r="E162" s="50">
        <v>4</v>
      </c>
      <c r="F162" s="50">
        <v>21.5</v>
      </c>
      <c r="G162" s="50">
        <v>3.5</v>
      </c>
      <c r="T162"/>
    </row>
    <row r="163" spans="1:20" ht="18.5" x14ac:dyDescent="0.35">
      <c r="A163" s="50">
        <v>1</v>
      </c>
      <c r="B163" s="50">
        <v>1</v>
      </c>
      <c r="C163" s="50">
        <v>1</v>
      </c>
      <c r="D163" s="50">
        <v>1</v>
      </c>
      <c r="E163" s="50">
        <v>2</v>
      </c>
      <c r="F163" s="50">
        <v>12.66</v>
      </c>
      <c r="G163" s="50">
        <v>2.5</v>
      </c>
      <c r="T163"/>
    </row>
    <row r="164" spans="1:20" ht="18.5" x14ac:dyDescent="0.35">
      <c r="A164" s="50">
        <v>2</v>
      </c>
      <c r="B164" s="50">
        <v>1</v>
      </c>
      <c r="C164" s="50">
        <v>1</v>
      </c>
      <c r="D164" s="50">
        <v>1</v>
      </c>
      <c r="E164" s="50">
        <v>3</v>
      </c>
      <c r="F164" s="50">
        <v>16.21</v>
      </c>
      <c r="G164" s="50">
        <v>2</v>
      </c>
      <c r="T164"/>
    </row>
    <row r="165" spans="1:20" ht="18.5" x14ac:dyDescent="0.35">
      <c r="A165" s="50">
        <v>1</v>
      </c>
      <c r="B165" s="50">
        <v>1</v>
      </c>
      <c r="C165" s="50">
        <v>1</v>
      </c>
      <c r="D165" s="50">
        <v>1</v>
      </c>
      <c r="E165" s="50">
        <v>2</v>
      </c>
      <c r="F165" s="50">
        <v>13.81</v>
      </c>
      <c r="G165" s="50">
        <v>2</v>
      </c>
      <c r="T165"/>
    </row>
    <row r="166" spans="1:20" ht="18.5" x14ac:dyDescent="0.35">
      <c r="A166" s="50">
        <v>2</v>
      </c>
      <c r="B166" s="50">
        <v>2</v>
      </c>
      <c r="C166" s="50">
        <v>1</v>
      </c>
      <c r="D166" s="50">
        <v>1</v>
      </c>
      <c r="E166" s="50">
        <v>2</v>
      </c>
      <c r="F166" s="50">
        <v>17.510000000000002</v>
      </c>
      <c r="G166" s="50">
        <v>3</v>
      </c>
      <c r="T166"/>
    </row>
    <row r="167" spans="1:20" ht="18.5" x14ac:dyDescent="0.35">
      <c r="A167" s="50">
        <v>1</v>
      </c>
      <c r="B167" s="50">
        <v>1</v>
      </c>
      <c r="C167" s="50">
        <v>1</v>
      </c>
      <c r="D167" s="50">
        <v>1</v>
      </c>
      <c r="E167" s="50">
        <v>3</v>
      </c>
      <c r="F167" s="50">
        <v>24.52</v>
      </c>
      <c r="G167" s="50">
        <v>3.48</v>
      </c>
      <c r="T167"/>
    </row>
    <row r="168" spans="1:20" ht="18.5" x14ac:dyDescent="0.35">
      <c r="A168" s="50">
        <v>1</v>
      </c>
      <c r="B168" s="50">
        <v>1</v>
      </c>
      <c r="C168" s="50">
        <v>1</v>
      </c>
      <c r="D168" s="50">
        <v>1</v>
      </c>
      <c r="E168" s="50">
        <v>2</v>
      </c>
      <c r="F168" s="50">
        <v>20.76</v>
      </c>
      <c r="G168" s="50">
        <v>2.2400000000000002</v>
      </c>
      <c r="T168"/>
    </row>
    <row r="169" spans="1:20" ht="18.5" x14ac:dyDescent="0.35">
      <c r="A169" s="50">
        <v>1</v>
      </c>
      <c r="B169" s="50">
        <v>1</v>
      </c>
      <c r="C169" s="50">
        <v>1</v>
      </c>
      <c r="D169" s="50">
        <v>1</v>
      </c>
      <c r="E169" s="50">
        <v>4</v>
      </c>
      <c r="F169" s="50">
        <v>31.71</v>
      </c>
      <c r="G169" s="50">
        <v>4.5</v>
      </c>
      <c r="T169"/>
    </row>
    <row r="170" spans="1:20" ht="18.5" x14ac:dyDescent="0.35">
      <c r="A170" s="50">
        <v>2</v>
      </c>
      <c r="B170" s="50">
        <v>2</v>
      </c>
      <c r="C170" s="50">
        <v>3</v>
      </c>
      <c r="D170" s="50">
        <v>1</v>
      </c>
      <c r="E170" s="50">
        <v>2</v>
      </c>
      <c r="F170" s="50">
        <v>10.59</v>
      </c>
      <c r="G170" s="50">
        <v>1.61</v>
      </c>
      <c r="T170"/>
    </row>
    <row r="171" spans="1:20" ht="18.5" x14ac:dyDescent="0.35">
      <c r="A171" s="50">
        <v>2</v>
      </c>
      <c r="B171" s="50">
        <v>2</v>
      </c>
      <c r="C171" s="50">
        <v>3</v>
      </c>
      <c r="D171" s="50">
        <v>1</v>
      </c>
      <c r="E171" s="50">
        <v>2</v>
      </c>
      <c r="F171" s="50">
        <v>10.63</v>
      </c>
      <c r="G171" s="50">
        <v>2</v>
      </c>
      <c r="T171"/>
    </row>
    <row r="172" spans="1:20" ht="18.5" x14ac:dyDescent="0.35">
      <c r="A172" s="50">
        <v>1</v>
      </c>
      <c r="B172" s="50">
        <v>2</v>
      </c>
      <c r="C172" s="50">
        <v>3</v>
      </c>
      <c r="D172" s="50">
        <v>1</v>
      </c>
      <c r="E172" s="50">
        <v>3</v>
      </c>
      <c r="F172" s="50">
        <v>50.81</v>
      </c>
      <c r="G172" s="50">
        <v>10</v>
      </c>
      <c r="T172"/>
    </row>
    <row r="173" spans="1:20" ht="18.5" x14ac:dyDescent="0.35">
      <c r="A173" s="50">
        <v>1</v>
      </c>
      <c r="B173" s="50">
        <v>2</v>
      </c>
      <c r="C173" s="50">
        <v>3</v>
      </c>
      <c r="D173" s="50">
        <v>1</v>
      </c>
      <c r="E173" s="50">
        <v>2</v>
      </c>
      <c r="F173" s="50">
        <v>15.81</v>
      </c>
      <c r="G173" s="50">
        <v>3.16</v>
      </c>
      <c r="T173"/>
    </row>
    <row r="174" spans="1:20" ht="18.5" x14ac:dyDescent="0.35">
      <c r="A174" s="50">
        <v>1</v>
      </c>
      <c r="B174" s="50">
        <v>2</v>
      </c>
      <c r="C174" s="50">
        <v>1</v>
      </c>
      <c r="D174" s="50">
        <v>1</v>
      </c>
      <c r="E174" s="50">
        <v>2</v>
      </c>
      <c r="F174" s="50">
        <v>7.25</v>
      </c>
      <c r="G174" s="50">
        <v>5.15</v>
      </c>
      <c r="T174"/>
    </row>
    <row r="175" spans="1:20" ht="18.5" x14ac:dyDescent="0.35">
      <c r="A175" s="50">
        <v>1</v>
      </c>
      <c r="B175" s="50">
        <v>2</v>
      </c>
      <c r="C175" s="50">
        <v>1</v>
      </c>
      <c r="D175" s="50">
        <v>1</v>
      </c>
      <c r="E175" s="50">
        <v>2</v>
      </c>
      <c r="F175" s="50">
        <v>31.85</v>
      </c>
      <c r="G175" s="50">
        <v>3.18</v>
      </c>
      <c r="T175"/>
    </row>
    <row r="176" spans="1:20" ht="18.5" x14ac:dyDescent="0.35">
      <c r="A176" s="50">
        <v>1</v>
      </c>
      <c r="B176" s="50">
        <v>2</v>
      </c>
      <c r="C176" s="50">
        <v>1</v>
      </c>
      <c r="D176" s="50">
        <v>1</v>
      </c>
      <c r="E176" s="50">
        <v>2</v>
      </c>
      <c r="F176" s="50">
        <v>16.82</v>
      </c>
      <c r="G176" s="50">
        <v>4</v>
      </c>
      <c r="T176"/>
    </row>
    <row r="177" spans="1:20" ht="18.5" x14ac:dyDescent="0.35">
      <c r="A177" s="50">
        <v>1</v>
      </c>
      <c r="B177" s="50">
        <v>2</v>
      </c>
      <c r="C177" s="50">
        <v>1</v>
      </c>
      <c r="D177" s="50">
        <v>1</v>
      </c>
      <c r="E177" s="50">
        <v>2</v>
      </c>
      <c r="F177" s="50">
        <v>32.9</v>
      </c>
      <c r="G177" s="50">
        <v>3.11</v>
      </c>
      <c r="T177"/>
    </row>
    <row r="178" spans="1:20" ht="18.5" x14ac:dyDescent="0.35">
      <c r="A178" s="50">
        <v>1</v>
      </c>
      <c r="B178" s="50">
        <v>2</v>
      </c>
      <c r="C178" s="50">
        <v>1</v>
      </c>
      <c r="D178" s="50">
        <v>1</v>
      </c>
      <c r="E178" s="50">
        <v>2</v>
      </c>
      <c r="F178" s="50">
        <v>17.89</v>
      </c>
      <c r="G178" s="50">
        <v>2</v>
      </c>
      <c r="T178"/>
    </row>
    <row r="179" spans="1:20" ht="18.5" x14ac:dyDescent="0.35">
      <c r="A179" s="50">
        <v>1</v>
      </c>
      <c r="B179" s="50">
        <v>2</v>
      </c>
      <c r="C179" s="50">
        <v>1</v>
      </c>
      <c r="D179" s="50">
        <v>1</v>
      </c>
      <c r="E179" s="50">
        <v>2</v>
      </c>
      <c r="F179" s="50">
        <v>14.48</v>
      </c>
      <c r="G179" s="50">
        <v>2</v>
      </c>
      <c r="T179"/>
    </row>
    <row r="180" spans="1:20" ht="18.5" x14ac:dyDescent="0.35">
      <c r="A180" s="50">
        <v>2</v>
      </c>
      <c r="B180" s="50">
        <v>2</v>
      </c>
      <c r="C180" s="50">
        <v>1</v>
      </c>
      <c r="D180" s="50">
        <v>1</v>
      </c>
      <c r="E180" s="50">
        <v>2</v>
      </c>
      <c r="F180" s="50">
        <v>9.6</v>
      </c>
      <c r="G180" s="50">
        <v>4</v>
      </c>
      <c r="T180"/>
    </row>
    <row r="181" spans="1:20" ht="18.5" x14ac:dyDescent="0.35">
      <c r="A181" s="50">
        <v>1</v>
      </c>
      <c r="B181" s="50">
        <v>2</v>
      </c>
      <c r="C181" s="50">
        <v>1</v>
      </c>
      <c r="D181" s="50">
        <v>1</v>
      </c>
      <c r="E181" s="50">
        <v>2</v>
      </c>
      <c r="F181" s="50">
        <v>34.630000000000003</v>
      </c>
      <c r="G181" s="50">
        <v>3.55</v>
      </c>
      <c r="T181"/>
    </row>
    <row r="182" spans="1:20" ht="18.5" x14ac:dyDescent="0.35">
      <c r="A182" s="50">
        <v>1</v>
      </c>
      <c r="B182" s="50">
        <v>2</v>
      </c>
      <c r="C182" s="50">
        <v>1</v>
      </c>
      <c r="D182" s="50">
        <v>1</v>
      </c>
      <c r="E182" s="50">
        <v>4</v>
      </c>
      <c r="F182" s="50">
        <v>34.65</v>
      </c>
      <c r="G182" s="50">
        <v>3.68</v>
      </c>
      <c r="T182"/>
    </row>
    <row r="183" spans="1:20" ht="18.5" x14ac:dyDescent="0.35">
      <c r="A183" s="50">
        <v>1</v>
      </c>
      <c r="B183" s="50">
        <v>2</v>
      </c>
      <c r="C183" s="50">
        <v>1</v>
      </c>
      <c r="D183" s="50">
        <v>1</v>
      </c>
      <c r="E183" s="50">
        <v>2</v>
      </c>
      <c r="F183" s="50">
        <v>23.33</v>
      </c>
      <c r="G183" s="50">
        <v>5.65</v>
      </c>
      <c r="T183"/>
    </row>
    <row r="184" spans="1:20" ht="18.5" x14ac:dyDescent="0.35">
      <c r="A184" s="50">
        <v>1</v>
      </c>
      <c r="B184" s="50">
        <v>2</v>
      </c>
      <c r="C184" s="50">
        <v>1</v>
      </c>
      <c r="D184" s="50">
        <v>1</v>
      </c>
      <c r="E184" s="50">
        <v>3</v>
      </c>
      <c r="F184" s="50">
        <v>45.35</v>
      </c>
      <c r="G184" s="50">
        <v>3.5</v>
      </c>
      <c r="T184"/>
    </row>
    <row r="185" spans="1:20" ht="18.5" x14ac:dyDescent="0.35">
      <c r="A185" s="50">
        <v>1</v>
      </c>
      <c r="B185" s="50">
        <v>2</v>
      </c>
      <c r="C185" s="50">
        <v>1</v>
      </c>
      <c r="D185" s="50">
        <v>1</v>
      </c>
      <c r="E185" s="50">
        <v>4</v>
      </c>
      <c r="F185" s="50">
        <v>23.17</v>
      </c>
      <c r="G185" s="50">
        <v>6.5</v>
      </c>
      <c r="T185"/>
    </row>
    <row r="186" spans="1:20" ht="18.5" x14ac:dyDescent="0.35">
      <c r="A186" s="50">
        <v>1</v>
      </c>
      <c r="B186" s="50">
        <v>2</v>
      </c>
      <c r="C186" s="50">
        <v>1</v>
      </c>
      <c r="D186" s="50">
        <v>1</v>
      </c>
      <c r="E186" s="50">
        <v>2</v>
      </c>
      <c r="F186" s="50">
        <v>40.549999999999997</v>
      </c>
      <c r="G186" s="50">
        <v>3</v>
      </c>
      <c r="T186"/>
    </row>
    <row r="187" spans="1:20" ht="18.5" x14ac:dyDescent="0.35">
      <c r="A187" s="50">
        <v>1</v>
      </c>
      <c r="B187" s="50">
        <v>1</v>
      </c>
      <c r="C187" s="50">
        <v>1</v>
      </c>
      <c r="D187" s="50">
        <v>1</v>
      </c>
      <c r="E187" s="50">
        <v>5</v>
      </c>
      <c r="F187" s="50">
        <v>20.69</v>
      </c>
      <c r="G187" s="50">
        <v>5</v>
      </c>
      <c r="T187"/>
    </row>
    <row r="188" spans="1:20" ht="18.5" x14ac:dyDescent="0.35">
      <c r="A188" s="50">
        <v>2</v>
      </c>
      <c r="B188" s="50">
        <v>2</v>
      </c>
      <c r="C188" s="50">
        <v>1</v>
      </c>
      <c r="D188" s="50">
        <v>1</v>
      </c>
      <c r="E188" s="50">
        <v>3</v>
      </c>
      <c r="F188" s="50">
        <v>20.9</v>
      </c>
      <c r="G188" s="50">
        <v>3.5</v>
      </c>
      <c r="T188"/>
    </row>
    <row r="189" spans="1:20" ht="18.5" x14ac:dyDescent="0.35">
      <c r="A189" s="50">
        <v>1</v>
      </c>
      <c r="B189" s="50">
        <v>2</v>
      </c>
      <c r="C189" s="50">
        <v>1</v>
      </c>
      <c r="D189" s="50">
        <v>1</v>
      </c>
      <c r="E189" s="50">
        <v>5</v>
      </c>
      <c r="F189" s="50">
        <v>30.46</v>
      </c>
      <c r="G189" s="50">
        <v>2</v>
      </c>
      <c r="T189"/>
    </row>
    <row r="190" spans="1:20" ht="18.5" x14ac:dyDescent="0.35">
      <c r="A190" s="50">
        <v>2</v>
      </c>
      <c r="B190" s="50">
        <v>2</v>
      </c>
      <c r="C190" s="50">
        <v>1</v>
      </c>
      <c r="D190" s="50">
        <v>1</v>
      </c>
      <c r="E190" s="50">
        <v>3</v>
      </c>
      <c r="F190" s="50">
        <v>18.149999999999999</v>
      </c>
      <c r="G190" s="50">
        <v>3.5</v>
      </c>
      <c r="T190"/>
    </row>
    <row r="191" spans="1:20" ht="18.5" x14ac:dyDescent="0.35">
      <c r="A191" s="50">
        <v>1</v>
      </c>
      <c r="B191" s="50">
        <v>2</v>
      </c>
      <c r="C191" s="50">
        <v>1</v>
      </c>
      <c r="D191" s="50">
        <v>1</v>
      </c>
      <c r="E191" s="50">
        <v>3</v>
      </c>
      <c r="F191" s="50">
        <v>23.1</v>
      </c>
      <c r="G191" s="50">
        <v>4</v>
      </c>
      <c r="T191"/>
    </row>
    <row r="192" spans="1:20" ht="18.5" x14ac:dyDescent="0.35">
      <c r="A192" s="50">
        <v>1</v>
      </c>
      <c r="B192" s="50">
        <v>2</v>
      </c>
      <c r="C192" s="50">
        <v>1</v>
      </c>
      <c r="D192" s="50">
        <v>1</v>
      </c>
      <c r="E192" s="50">
        <v>2</v>
      </c>
      <c r="F192" s="50">
        <v>15.69</v>
      </c>
      <c r="G192" s="50">
        <v>1.5</v>
      </c>
      <c r="T192"/>
    </row>
    <row r="193" spans="1:20" ht="18.5" x14ac:dyDescent="0.35">
      <c r="A193" s="50">
        <v>2</v>
      </c>
      <c r="B193" s="50">
        <v>2</v>
      </c>
      <c r="C193" s="50">
        <v>4</v>
      </c>
      <c r="D193" s="50">
        <v>2</v>
      </c>
      <c r="E193" s="50">
        <v>2</v>
      </c>
      <c r="F193" s="50">
        <v>19.809999999999999</v>
      </c>
      <c r="G193" s="50">
        <v>4.1900000000000004</v>
      </c>
      <c r="T193"/>
    </row>
    <row r="194" spans="1:20" ht="18.5" x14ac:dyDescent="0.35">
      <c r="A194" s="50">
        <v>1</v>
      </c>
      <c r="B194" s="50">
        <v>2</v>
      </c>
      <c r="C194" s="50">
        <v>4</v>
      </c>
      <c r="D194" s="50">
        <v>2</v>
      </c>
      <c r="E194" s="50">
        <v>2</v>
      </c>
      <c r="F194" s="50">
        <v>28.44</v>
      </c>
      <c r="G194" s="50">
        <v>2.56</v>
      </c>
      <c r="T194"/>
    </row>
    <row r="195" spans="1:20" ht="18.5" x14ac:dyDescent="0.35">
      <c r="A195" s="50">
        <v>1</v>
      </c>
      <c r="B195" s="50">
        <v>2</v>
      </c>
      <c r="C195" s="50">
        <v>4</v>
      </c>
      <c r="D195" s="50">
        <v>2</v>
      </c>
      <c r="E195" s="50">
        <v>2</v>
      </c>
      <c r="F195" s="50">
        <v>15.48</v>
      </c>
      <c r="G195" s="50">
        <v>2.02</v>
      </c>
      <c r="T195"/>
    </row>
    <row r="196" spans="1:20" ht="18.5" x14ac:dyDescent="0.35">
      <c r="A196" s="50">
        <v>1</v>
      </c>
      <c r="B196" s="50">
        <v>2</v>
      </c>
      <c r="C196" s="50">
        <v>4</v>
      </c>
      <c r="D196" s="50">
        <v>2</v>
      </c>
      <c r="E196" s="50">
        <v>2</v>
      </c>
      <c r="F196" s="50">
        <v>16.579999999999998</v>
      </c>
      <c r="G196" s="50">
        <v>4</v>
      </c>
      <c r="T196"/>
    </row>
    <row r="197" spans="1:20" ht="18.5" x14ac:dyDescent="0.35">
      <c r="A197" s="50">
        <v>1</v>
      </c>
      <c r="B197" s="50">
        <v>1</v>
      </c>
      <c r="C197" s="50">
        <v>4</v>
      </c>
      <c r="D197" s="50">
        <v>2</v>
      </c>
      <c r="E197" s="50">
        <v>2</v>
      </c>
      <c r="F197" s="50">
        <v>7.56</v>
      </c>
      <c r="G197" s="50">
        <v>1.44</v>
      </c>
      <c r="T197"/>
    </row>
    <row r="198" spans="1:20" ht="18.5" x14ac:dyDescent="0.35">
      <c r="A198" s="50">
        <v>1</v>
      </c>
      <c r="B198" s="50">
        <v>2</v>
      </c>
      <c r="C198" s="50">
        <v>4</v>
      </c>
      <c r="D198" s="50">
        <v>2</v>
      </c>
      <c r="E198" s="50">
        <v>2</v>
      </c>
      <c r="F198" s="50">
        <v>10.34</v>
      </c>
      <c r="G198" s="50">
        <v>2</v>
      </c>
      <c r="T198"/>
    </row>
    <row r="199" spans="1:20" ht="18.5" x14ac:dyDescent="0.35">
      <c r="A199" s="50">
        <v>2</v>
      </c>
      <c r="B199" s="50">
        <v>2</v>
      </c>
      <c r="C199" s="50">
        <v>4</v>
      </c>
      <c r="D199" s="50">
        <v>2</v>
      </c>
      <c r="E199" s="50">
        <v>4</v>
      </c>
      <c r="F199" s="50">
        <v>43.11</v>
      </c>
      <c r="G199" s="50">
        <v>5</v>
      </c>
      <c r="T199"/>
    </row>
    <row r="200" spans="1:20" ht="18.5" x14ac:dyDescent="0.35">
      <c r="A200" s="50">
        <v>2</v>
      </c>
      <c r="B200" s="50">
        <v>2</v>
      </c>
      <c r="C200" s="50">
        <v>4</v>
      </c>
      <c r="D200" s="50">
        <v>2</v>
      </c>
      <c r="E200" s="50">
        <v>2</v>
      </c>
      <c r="F200" s="50">
        <v>13</v>
      </c>
      <c r="G200" s="50">
        <v>2</v>
      </c>
      <c r="T200"/>
    </row>
    <row r="201" spans="1:20" ht="18.5" x14ac:dyDescent="0.35">
      <c r="A201" s="50">
        <v>1</v>
      </c>
      <c r="B201" s="50">
        <v>2</v>
      </c>
      <c r="C201" s="50">
        <v>4</v>
      </c>
      <c r="D201" s="50">
        <v>2</v>
      </c>
      <c r="E201" s="50">
        <v>2</v>
      </c>
      <c r="F201" s="50">
        <v>13.51</v>
      </c>
      <c r="G201" s="50">
        <v>2</v>
      </c>
      <c r="T201"/>
    </row>
    <row r="202" spans="1:20" ht="18.5" x14ac:dyDescent="0.35">
      <c r="A202" s="50">
        <v>1</v>
      </c>
      <c r="B202" s="50">
        <v>2</v>
      </c>
      <c r="C202" s="50">
        <v>4</v>
      </c>
      <c r="D202" s="50">
        <v>2</v>
      </c>
      <c r="E202" s="50">
        <v>3</v>
      </c>
      <c r="F202" s="50">
        <v>18.71</v>
      </c>
      <c r="G202" s="50">
        <v>4</v>
      </c>
      <c r="T202"/>
    </row>
    <row r="203" spans="1:20" ht="18.5" x14ac:dyDescent="0.35">
      <c r="A203" s="50">
        <v>2</v>
      </c>
      <c r="B203" s="50">
        <v>2</v>
      </c>
      <c r="C203" s="50">
        <v>4</v>
      </c>
      <c r="D203" s="50">
        <v>2</v>
      </c>
      <c r="E203" s="50">
        <v>2</v>
      </c>
      <c r="F203" s="50">
        <v>12.74</v>
      </c>
      <c r="G203" s="50">
        <v>2.0099999999999998</v>
      </c>
      <c r="T203"/>
    </row>
    <row r="204" spans="1:20" ht="18.5" x14ac:dyDescent="0.35">
      <c r="A204" s="50">
        <v>2</v>
      </c>
      <c r="B204" s="50">
        <v>2</v>
      </c>
      <c r="C204" s="50">
        <v>4</v>
      </c>
      <c r="D204" s="50">
        <v>2</v>
      </c>
      <c r="E204" s="50">
        <v>2</v>
      </c>
      <c r="F204" s="50">
        <v>16.399999999999999</v>
      </c>
      <c r="G204" s="50">
        <v>2.5</v>
      </c>
      <c r="T204"/>
    </row>
    <row r="205" spans="1:20" ht="18.5" x14ac:dyDescent="0.35">
      <c r="A205" s="50">
        <v>1</v>
      </c>
      <c r="B205" s="50">
        <v>2</v>
      </c>
      <c r="C205" s="50">
        <v>4</v>
      </c>
      <c r="D205" s="50">
        <v>2</v>
      </c>
      <c r="E205" s="50">
        <v>4</v>
      </c>
      <c r="F205" s="50">
        <v>20.53</v>
      </c>
      <c r="G205" s="50">
        <v>4</v>
      </c>
      <c r="T205"/>
    </row>
    <row r="206" spans="1:20" ht="18.5" x14ac:dyDescent="0.35">
      <c r="A206" s="50">
        <v>2</v>
      </c>
      <c r="B206" s="50">
        <v>2</v>
      </c>
      <c r="C206" s="50">
        <v>4</v>
      </c>
      <c r="D206" s="50">
        <v>2</v>
      </c>
      <c r="E206" s="50">
        <v>3</v>
      </c>
      <c r="F206" s="50">
        <v>16.47</v>
      </c>
      <c r="G206" s="50">
        <v>3.23</v>
      </c>
      <c r="T206"/>
    </row>
    <row r="207" spans="1:20" ht="18.5" x14ac:dyDescent="0.35">
      <c r="A207" s="50">
        <v>1</v>
      </c>
      <c r="B207" s="50">
        <v>2</v>
      </c>
      <c r="C207" s="50">
        <v>3</v>
      </c>
      <c r="D207" s="50">
        <v>1</v>
      </c>
      <c r="E207" s="50">
        <v>3</v>
      </c>
      <c r="F207" s="50">
        <v>26.59</v>
      </c>
      <c r="G207" s="50">
        <v>3.41</v>
      </c>
      <c r="T207"/>
    </row>
    <row r="208" spans="1:20" ht="18.5" x14ac:dyDescent="0.35">
      <c r="A208" s="50">
        <v>1</v>
      </c>
      <c r="B208" s="50">
        <v>2</v>
      </c>
      <c r="C208" s="50">
        <v>3</v>
      </c>
      <c r="D208" s="50">
        <v>1</v>
      </c>
      <c r="E208" s="50">
        <v>4</v>
      </c>
      <c r="F208" s="50">
        <v>38.729999999999997</v>
      </c>
      <c r="G208" s="50">
        <v>3</v>
      </c>
      <c r="T208"/>
    </row>
    <row r="209" spans="1:20" ht="18.5" x14ac:dyDescent="0.35">
      <c r="A209" s="50">
        <v>1</v>
      </c>
      <c r="B209" s="50">
        <v>2</v>
      </c>
      <c r="C209" s="50">
        <v>3</v>
      </c>
      <c r="D209" s="50">
        <v>1</v>
      </c>
      <c r="E209" s="50">
        <v>2</v>
      </c>
      <c r="F209" s="50">
        <v>24.27</v>
      </c>
      <c r="G209" s="50">
        <v>2.0299999999999998</v>
      </c>
      <c r="T209"/>
    </row>
    <row r="210" spans="1:20" ht="18.5" x14ac:dyDescent="0.35">
      <c r="A210" s="50">
        <v>2</v>
      </c>
      <c r="B210" s="50">
        <v>2</v>
      </c>
      <c r="C210" s="50">
        <v>3</v>
      </c>
      <c r="D210" s="50">
        <v>1</v>
      </c>
      <c r="E210" s="50">
        <v>2</v>
      </c>
      <c r="F210" s="50">
        <v>12.76</v>
      </c>
      <c r="G210" s="50">
        <v>2.23</v>
      </c>
      <c r="T210"/>
    </row>
    <row r="211" spans="1:20" ht="18.5" x14ac:dyDescent="0.35">
      <c r="A211" s="50">
        <v>1</v>
      </c>
      <c r="B211" s="50">
        <v>2</v>
      </c>
      <c r="C211" s="50">
        <v>3</v>
      </c>
      <c r="D211" s="50">
        <v>1</v>
      </c>
      <c r="E211" s="50">
        <v>3</v>
      </c>
      <c r="F211" s="50">
        <v>30.06</v>
      </c>
      <c r="G211" s="50">
        <v>2</v>
      </c>
      <c r="T211"/>
    </row>
    <row r="212" spans="1:20" ht="18.5" x14ac:dyDescent="0.35">
      <c r="A212" s="50">
        <v>1</v>
      </c>
      <c r="B212" s="50">
        <v>2</v>
      </c>
      <c r="C212" s="50">
        <v>3</v>
      </c>
      <c r="D212" s="50">
        <v>1</v>
      </c>
      <c r="E212" s="50">
        <v>4</v>
      </c>
      <c r="F212" s="50">
        <v>25.89</v>
      </c>
      <c r="G212" s="50">
        <v>5.16</v>
      </c>
      <c r="T212"/>
    </row>
    <row r="213" spans="1:20" ht="18.5" x14ac:dyDescent="0.35">
      <c r="A213" s="50">
        <v>1</v>
      </c>
      <c r="B213" s="50">
        <v>1</v>
      </c>
      <c r="C213" s="50">
        <v>3</v>
      </c>
      <c r="D213" s="50">
        <v>1</v>
      </c>
      <c r="E213" s="50">
        <v>4</v>
      </c>
      <c r="F213" s="50">
        <v>48.33</v>
      </c>
      <c r="G213" s="50">
        <v>9</v>
      </c>
      <c r="T213"/>
    </row>
    <row r="214" spans="1:20" ht="18.5" x14ac:dyDescent="0.35">
      <c r="A214" s="50">
        <v>2</v>
      </c>
      <c r="B214" s="50">
        <v>2</v>
      </c>
      <c r="C214" s="50">
        <v>3</v>
      </c>
      <c r="D214" s="50">
        <v>1</v>
      </c>
      <c r="E214" s="50">
        <v>2</v>
      </c>
      <c r="F214" s="50">
        <v>13.27</v>
      </c>
      <c r="G214" s="50">
        <v>2.5</v>
      </c>
      <c r="T214"/>
    </row>
    <row r="215" spans="1:20" ht="18.5" x14ac:dyDescent="0.35">
      <c r="A215" s="50">
        <v>2</v>
      </c>
      <c r="B215" s="50">
        <v>2</v>
      </c>
      <c r="C215" s="50">
        <v>3</v>
      </c>
      <c r="D215" s="50">
        <v>1</v>
      </c>
      <c r="E215" s="50">
        <v>3</v>
      </c>
      <c r="F215" s="50">
        <v>28.17</v>
      </c>
      <c r="G215" s="50">
        <v>6.5</v>
      </c>
      <c r="T215"/>
    </row>
    <row r="216" spans="1:20" ht="18.5" x14ac:dyDescent="0.35">
      <c r="A216" s="50">
        <v>2</v>
      </c>
      <c r="B216" s="50">
        <v>2</v>
      </c>
      <c r="C216" s="50">
        <v>3</v>
      </c>
      <c r="D216" s="50">
        <v>1</v>
      </c>
      <c r="E216" s="50">
        <v>2</v>
      </c>
      <c r="F216" s="50">
        <v>12.9</v>
      </c>
      <c r="G216" s="50">
        <v>1.1000000000000001</v>
      </c>
      <c r="T216"/>
    </row>
    <row r="217" spans="1:20" ht="18.5" x14ac:dyDescent="0.35">
      <c r="A217" s="50">
        <v>1</v>
      </c>
      <c r="B217" s="50">
        <v>2</v>
      </c>
      <c r="C217" s="50">
        <v>3</v>
      </c>
      <c r="D217" s="50">
        <v>1</v>
      </c>
      <c r="E217" s="50">
        <v>5</v>
      </c>
      <c r="F217" s="50">
        <v>28.15</v>
      </c>
      <c r="G217" s="50">
        <v>3</v>
      </c>
      <c r="T217"/>
    </row>
    <row r="218" spans="1:20" ht="18.5" x14ac:dyDescent="0.35">
      <c r="A218" s="50">
        <v>1</v>
      </c>
      <c r="B218" s="50">
        <v>2</v>
      </c>
      <c r="C218" s="50">
        <v>3</v>
      </c>
      <c r="D218" s="50">
        <v>1</v>
      </c>
      <c r="E218" s="50">
        <v>2</v>
      </c>
      <c r="F218" s="50">
        <v>11.59</v>
      </c>
      <c r="G218" s="50">
        <v>1.5</v>
      </c>
      <c r="T218"/>
    </row>
    <row r="219" spans="1:20" ht="18.5" x14ac:dyDescent="0.35">
      <c r="A219" s="50">
        <v>1</v>
      </c>
      <c r="B219" s="50">
        <v>2</v>
      </c>
      <c r="C219" s="50">
        <v>3</v>
      </c>
      <c r="D219" s="50">
        <v>1</v>
      </c>
      <c r="E219" s="50">
        <v>2</v>
      </c>
      <c r="F219" s="50">
        <v>7.74</v>
      </c>
      <c r="G219" s="50">
        <v>1.44</v>
      </c>
      <c r="T219"/>
    </row>
    <row r="220" spans="1:20" ht="18.5" x14ac:dyDescent="0.35">
      <c r="A220" s="50">
        <v>2</v>
      </c>
      <c r="B220" s="50">
        <v>2</v>
      </c>
      <c r="C220" s="50">
        <v>3</v>
      </c>
      <c r="D220" s="50">
        <v>1</v>
      </c>
      <c r="E220" s="50">
        <v>4</v>
      </c>
      <c r="F220" s="50">
        <v>30.14</v>
      </c>
      <c r="G220" s="50">
        <v>3.09</v>
      </c>
      <c r="T220"/>
    </row>
    <row r="221" spans="1:20" ht="18.5" x14ac:dyDescent="0.35">
      <c r="A221" s="50">
        <v>1</v>
      </c>
      <c r="B221" s="50">
        <v>2</v>
      </c>
      <c r="C221" s="50">
        <v>2</v>
      </c>
      <c r="D221" s="50">
        <v>2</v>
      </c>
      <c r="E221" s="50">
        <v>2</v>
      </c>
      <c r="F221" s="50">
        <v>12.16</v>
      </c>
      <c r="G221" s="50">
        <v>2.2000000000000002</v>
      </c>
      <c r="T221"/>
    </row>
    <row r="222" spans="1:20" ht="18.5" x14ac:dyDescent="0.35">
      <c r="A222" s="50">
        <v>2</v>
      </c>
      <c r="B222" s="50">
        <v>2</v>
      </c>
      <c r="C222" s="50">
        <v>2</v>
      </c>
      <c r="D222" s="50">
        <v>2</v>
      </c>
      <c r="E222" s="50">
        <v>2</v>
      </c>
      <c r="F222" s="50">
        <v>13.42</v>
      </c>
      <c r="G222" s="50">
        <v>3.48</v>
      </c>
      <c r="T222"/>
    </row>
    <row r="223" spans="1:20" ht="18.5" x14ac:dyDescent="0.35">
      <c r="A223" s="50">
        <v>1</v>
      </c>
      <c r="B223" s="50">
        <v>2</v>
      </c>
      <c r="C223" s="50">
        <v>2</v>
      </c>
      <c r="D223" s="50">
        <v>2</v>
      </c>
      <c r="E223" s="50">
        <v>1</v>
      </c>
      <c r="F223" s="50">
        <v>8.58</v>
      </c>
      <c r="G223" s="50">
        <v>1.92</v>
      </c>
      <c r="T223"/>
    </row>
    <row r="224" spans="1:20" ht="18.5" x14ac:dyDescent="0.35">
      <c r="A224" s="50">
        <v>2</v>
      </c>
      <c r="B224" s="50">
        <v>1</v>
      </c>
      <c r="C224" s="50">
        <v>2</v>
      </c>
      <c r="D224" s="50">
        <v>2</v>
      </c>
      <c r="E224" s="50">
        <v>3</v>
      </c>
      <c r="F224" s="50">
        <v>15.98</v>
      </c>
      <c r="G224" s="50">
        <v>3</v>
      </c>
      <c r="T224"/>
    </row>
    <row r="225" spans="1:20" ht="18.5" x14ac:dyDescent="0.35">
      <c r="A225" s="50">
        <v>1</v>
      </c>
      <c r="B225" s="50">
        <v>2</v>
      </c>
      <c r="C225" s="50">
        <v>2</v>
      </c>
      <c r="D225" s="50">
        <v>2</v>
      </c>
      <c r="E225" s="50">
        <v>2</v>
      </c>
      <c r="F225" s="50">
        <v>13.42</v>
      </c>
      <c r="G225" s="50">
        <v>1.58</v>
      </c>
      <c r="T225"/>
    </row>
    <row r="226" spans="1:20" ht="18.5" x14ac:dyDescent="0.35">
      <c r="A226" s="50">
        <v>2</v>
      </c>
      <c r="B226" s="50">
        <v>2</v>
      </c>
      <c r="C226" s="50">
        <v>2</v>
      </c>
      <c r="D226" s="50">
        <v>2</v>
      </c>
      <c r="E226" s="50">
        <v>2</v>
      </c>
      <c r="F226" s="50">
        <v>16.27</v>
      </c>
      <c r="G226" s="50">
        <v>2.5</v>
      </c>
      <c r="T226"/>
    </row>
    <row r="227" spans="1:20" ht="18.5" x14ac:dyDescent="0.35">
      <c r="A227" s="50">
        <v>2</v>
      </c>
      <c r="B227" s="50">
        <v>2</v>
      </c>
      <c r="C227" s="50">
        <v>2</v>
      </c>
      <c r="D227" s="50">
        <v>2</v>
      </c>
      <c r="E227" s="50">
        <v>2</v>
      </c>
      <c r="F227" s="50">
        <v>10.09</v>
      </c>
      <c r="G227" s="50">
        <v>2</v>
      </c>
      <c r="T227"/>
    </row>
    <row r="228" spans="1:20" ht="18.5" x14ac:dyDescent="0.35">
      <c r="A228" s="50">
        <v>1</v>
      </c>
      <c r="B228" s="50">
        <v>1</v>
      </c>
      <c r="C228" s="50">
        <v>3</v>
      </c>
      <c r="D228" s="50">
        <v>1</v>
      </c>
      <c r="E228" s="50">
        <v>4</v>
      </c>
      <c r="F228" s="50">
        <v>20.45</v>
      </c>
      <c r="G228" s="50">
        <v>3</v>
      </c>
      <c r="T228"/>
    </row>
    <row r="229" spans="1:20" ht="18.5" x14ac:dyDescent="0.35">
      <c r="A229" s="50">
        <v>1</v>
      </c>
      <c r="B229" s="50">
        <v>1</v>
      </c>
      <c r="C229" s="50">
        <v>3</v>
      </c>
      <c r="D229" s="50">
        <v>1</v>
      </c>
      <c r="E229" s="50">
        <v>2</v>
      </c>
      <c r="F229" s="50">
        <v>13.28</v>
      </c>
      <c r="G229" s="50">
        <v>2.72</v>
      </c>
      <c r="T229"/>
    </row>
    <row r="230" spans="1:20" ht="18.5" x14ac:dyDescent="0.35">
      <c r="A230" s="50">
        <v>2</v>
      </c>
      <c r="B230" s="50">
        <v>2</v>
      </c>
      <c r="C230" s="50">
        <v>3</v>
      </c>
      <c r="D230" s="50">
        <v>1</v>
      </c>
      <c r="E230" s="50">
        <v>2</v>
      </c>
      <c r="F230" s="50">
        <v>22.12</v>
      </c>
      <c r="G230" s="50">
        <v>2.88</v>
      </c>
      <c r="T230"/>
    </row>
    <row r="231" spans="1:20" ht="18.5" x14ac:dyDescent="0.35">
      <c r="A231" s="50">
        <v>1</v>
      </c>
      <c r="B231" s="50">
        <v>2</v>
      </c>
      <c r="C231" s="50">
        <v>3</v>
      </c>
      <c r="D231" s="50">
        <v>1</v>
      </c>
      <c r="E231" s="50">
        <v>4</v>
      </c>
      <c r="F231" s="50">
        <v>24.01</v>
      </c>
      <c r="G231" s="50">
        <v>2</v>
      </c>
      <c r="T231"/>
    </row>
    <row r="232" spans="1:20" ht="18.5" x14ac:dyDescent="0.35">
      <c r="A232" s="50">
        <v>1</v>
      </c>
      <c r="B232" s="50">
        <v>2</v>
      </c>
      <c r="C232" s="50">
        <v>3</v>
      </c>
      <c r="D232" s="50">
        <v>1</v>
      </c>
      <c r="E232" s="50">
        <v>3</v>
      </c>
      <c r="F232" s="50">
        <v>15.69</v>
      </c>
      <c r="G232" s="50">
        <v>3</v>
      </c>
      <c r="T232"/>
    </row>
    <row r="233" spans="1:20" ht="18.5" x14ac:dyDescent="0.35">
      <c r="A233" s="50">
        <v>1</v>
      </c>
      <c r="B233" s="50">
        <v>1</v>
      </c>
      <c r="C233" s="50">
        <v>3</v>
      </c>
      <c r="D233" s="50">
        <v>1</v>
      </c>
      <c r="E233" s="50">
        <v>2</v>
      </c>
      <c r="F233" s="50">
        <v>11.61</v>
      </c>
      <c r="G233" s="50">
        <v>3.39</v>
      </c>
      <c r="T233"/>
    </row>
    <row r="234" spans="1:20" ht="18.5" x14ac:dyDescent="0.35">
      <c r="A234" s="50">
        <v>1</v>
      </c>
      <c r="B234" s="50">
        <v>1</v>
      </c>
      <c r="C234" s="50">
        <v>3</v>
      </c>
      <c r="D234" s="50">
        <v>1</v>
      </c>
      <c r="E234" s="50">
        <v>2</v>
      </c>
      <c r="F234" s="50">
        <v>10.77</v>
      </c>
      <c r="G234" s="50">
        <v>1.47</v>
      </c>
      <c r="T234"/>
    </row>
    <row r="235" spans="1:20" ht="18.5" x14ac:dyDescent="0.35">
      <c r="A235" s="50">
        <v>1</v>
      </c>
      <c r="B235" s="50">
        <v>2</v>
      </c>
      <c r="C235" s="50">
        <v>3</v>
      </c>
      <c r="D235" s="50">
        <v>1</v>
      </c>
      <c r="E235" s="50">
        <v>2</v>
      </c>
      <c r="F235" s="50">
        <v>15.53</v>
      </c>
      <c r="G235" s="50">
        <v>3</v>
      </c>
      <c r="T235"/>
    </row>
    <row r="236" spans="1:20" ht="18.5" x14ac:dyDescent="0.35">
      <c r="A236" s="50">
        <v>1</v>
      </c>
      <c r="B236" s="50">
        <v>1</v>
      </c>
      <c r="C236" s="50">
        <v>3</v>
      </c>
      <c r="D236" s="50">
        <v>1</v>
      </c>
      <c r="E236" s="50">
        <v>2</v>
      </c>
      <c r="F236" s="50">
        <v>10.07</v>
      </c>
      <c r="G236" s="50">
        <v>1.25</v>
      </c>
      <c r="T236"/>
    </row>
    <row r="237" spans="1:20" ht="18.5" x14ac:dyDescent="0.35">
      <c r="A237" s="50">
        <v>1</v>
      </c>
      <c r="B237" s="50">
        <v>2</v>
      </c>
      <c r="C237" s="50">
        <v>3</v>
      </c>
      <c r="D237" s="50">
        <v>1</v>
      </c>
      <c r="E237" s="50">
        <v>2</v>
      </c>
      <c r="F237" s="50">
        <v>12.6</v>
      </c>
      <c r="G237" s="50">
        <v>1</v>
      </c>
      <c r="T237"/>
    </row>
    <row r="238" spans="1:20" ht="18.5" x14ac:dyDescent="0.35">
      <c r="A238" s="50">
        <v>1</v>
      </c>
      <c r="B238" s="50">
        <v>2</v>
      </c>
      <c r="C238" s="50">
        <v>3</v>
      </c>
      <c r="D238" s="50">
        <v>1</v>
      </c>
      <c r="E238" s="50">
        <v>2</v>
      </c>
      <c r="F238" s="50">
        <v>32.83</v>
      </c>
      <c r="G238" s="50">
        <v>1.17</v>
      </c>
      <c r="T238"/>
    </row>
    <row r="239" spans="1:20" ht="18.5" x14ac:dyDescent="0.35">
      <c r="A239" s="50">
        <v>2</v>
      </c>
      <c r="B239" s="50">
        <v>1</v>
      </c>
      <c r="C239" s="50">
        <v>3</v>
      </c>
      <c r="D239" s="50">
        <v>1</v>
      </c>
      <c r="E239" s="50">
        <v>3</v>
      </c>
      <c r="F239" s="50">
        <v>35.83</v>
      </c>
      <c r="G239" s="50">
        <v>4.67</v>
      </c>
      <c r="T239"/>
    </row>
    <row r="240" spans="1:20" ht="18.5" x14ac:dyDescent="0.35">
      <c r="A240" s="50">
        <v>1</v>
      </c>
      <c r="B240" s="50">
        <v>1</v>
      </c>
      <c r="C240" s="50">
        <v>3</v>
      </c>
      <c r="D240" s="50">
        <v>1</v>
      </c>
      <c r="E240" s="50">
        <v>3</v>
      </c>
      <c r="F240" s="50">
        <v>29.03</v>
      </c>
      <c r="G240" s="50">
        <v>5.92</v>
      </c>
      <c r="T240"/>
    </row>
    <row r="241" spans="1:20" ht="18.5" x14ac:dyDescent="0.35">
      <c r="A241" s="50">
        <v>2</v>
      </c>
      <c r="B241" s="50">
        <v>2</v>
      </c>
      <c r="C241" s="50">
        <v>3</v>
      </c>
      <c r="D241" s="50">
        <v>1</v>
      </c>
      <c r="E241" s="50">
        <v>2</v>
      </c>
      <c r="F241" s="50">
        <v>27.18</v>
      </c>
      <c r="G241" s="50">
        <v>2</v>
      </c>
      <c r="T241"/>
    </row>
    <row r="242" spans="1:20" ht="18.5" x14ac:dyDescent="0.35">
      <c r="A242" s="50">
        <v>1</v>
      </c>
      <c r="B242" s="50">
        <v>2</v>
      </c>
      <c r="C242" s="50">
        <v>3</v>
      </c>
      <c r="D242" s="50">
        <v>1</v>
      </c>
      <c r="E242" s="50">
        <v>2</v>
      </c>
      <c r="F242" s="50">
        <v>22.67</v>
      </c>
      <c r="G242" s="50">
        <v>2</v>
      </c>
      <c r="T242"/>
    </row>
    <row r="243" spans="1:20" ht="18.5" x14ac:dyDescent="0.35">
      <c r="A243" s="50">
        <v>1</v>
      </c>
      <c r="B243" s="50">
        <v>1</v>
      </c>
      <c r="C243" s="50">
        <v>3</v>
      </c>
      <c r="D243" s="50">
        <v>1</v>
      </c>
      <c r="E243" s="50">
        <v>2</v>
      </c>
      <c r="F243" s="50">
        <v>17.82</v>
      </c>
      <c r="G243" s="50">
        <v>1.75</v>
      </c>
      <c r="T243"/>
    </row>
    <row r="244" spans="1:20" ht="18.5" x14ac:dyDescent="0.35">
      <c r="A244" s="50">
        <v>2</v>
      </c>
      <c r="B244" s="50">
        <v>1</v>
      </c>
      <c r="C244" s="50">
        <v>4</v>
      </c>
      <c r="D244" s="50">
        <v>1</v>
      </c>
      <c r="E244" s="50">
        <v>2</v>
      </c>
      <c r="F244" s="50">
        <v>18.78</v>
      </c>
      <c r="G244" s="50">
        <v>3</v>
      </c>
      <c r="T2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19F55-538E-44C3-A010-FDA881E2200B}">
  <dimension ref="A1"/>
  <sheetViews>
    <sheetView topLeftCell="A31" zoomScale="79" zoomScaleNormal="79" workbookViewId="0">
      <selection activeCell="L22" sqref="L2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F932-91C3-4504-9B4A-8550609D2102}">
  <dimension ref="A1:R28"/>
  <sheetViews>
    <sheetView topLeftCell="A17" zoomScale="58" zoomScaleNormal="67" workbookViewId="0">
      <selection activeCell="L33" sqref="L33"/>
    </sheetView>
  </sheetViews>
  <sheetFormatPr defaultRowHeight="14.5" x14ac:dyDescent="0.35"/>
  <cols>
    <col min="1" max="1" width="19.08984375" customWidth="1"/>
    <col min="2" max="2" width="15.54296875" customWidth="1"/>
    <col min="3" max="3" width="18.26953125" customWidth="1"/>
    <col min="4" max="4" width="11.81640625" customWidth="1"/>
    <col min="5" max="5" width="13" customWidth="1"/>
    <col min="6" max="6" width="17.36328125" customWidth="1"/>
    <col min="7" max="7" width="14.6328125" customWidth="1"/>
    <col min="8" max="8" width="16.1796875" customWidth="1"/>
    <col min="9" max="9" width="16.08984375" customWidth="1"/>
    <col min="10" max="10" width="87.90625" customWidth="1"/>
    <col min="11" max="11" width="13.26953125" customWidth="1"/>
  </cols>
  <sheetData>
    <row r="1" spans="1:12" x14ac:dyDescent="0.35">
      <c r="A1" s="2" t="s">
        <v>40</v>
      </c>
      <c r="B1" s="2"/>
    </row>
    <row r="2" spans="1:12" ht="15" thickBot="1" x14ac:dyDescent="0.4">
      <c r="A2" s="2"/>
      <c r="B2" s="2"/>
    </row>
    <row r="3" spans="1:12" x14ac:dyDescent="0.35">
      <c r="A3" s="22" t="s">
        <v>41</v>
      </c>
      <c r="B3" s="22"/>
    </row>
    <row r="4" spans="1:12" x14ac:dyDescent="0.35">
      <c r="A4" s="2" t="s">
        <v>42</v>
      </c>
      <c r="B4" s="2">
        <v>0.68474709034084957</v>
      </c>
    </row>
    <row r="5" spans="1:12" x14ac:dyDescent="0.35">
      <c r="A5" s="2" t="s">
        <v>43</v>
      </c>
      <c r="B5" s="2">
        <v>0.46887857773025954</v>
      </c>
    </row>
    <row r="6" spans="1:12" x14ac:dyDescent="0.35">
      <c r="A6" s="2" t="s">
        <v>44</v>
      </c>
      <c r="B6" s="2">
        <v>0.45537549072340172</v>
      </c>
    </row>
    <row r="7" spans="1:12" x14ac:dyDescent="0.35">
      <c r="A7" s="2" t="s">
        <v>45</v>
      </c>
      <c r="B7" s="2">
        <v>1.0221132142257578</v>
      </c>
    </row>
    <row r="8" spans="1:12" ht="15" thickBot="1" x14ac:dyDescent="0.4">
      <c r="A8" s="23" t="s">
        <v>46</v>
      </c>
      <c r="B8" s="23">
        <v>243</v>
      </c>
    </row>
    <row r="9" spans="1:12" ht="3" customHeight="1" x14ac:dyDescent="0.35"/>
    <row r="10" spans="1:12" ht="19" thickBot="1" x14ac:dyDescent="0.5">
      <c r="A10" s="8" t="s">
        <v>47</v>
      </c>
      <c r="B10" s="8"/>
      <c r="C10" s="8"/>
      <c r="D10" s="8"/>
      <c r="E10" s="8"/>
      <c r="F10" s="8"/>
      <c r="G10" s="9"/>
      <c r="H10" s="9"/>
      <c r="I10" s="9"/>
      <c r="J10" s="9"/>
    </row>
    <row r="11" spans="1:12" ht="18.5" x14ac:dyDescent="0.45">
      <c r="A11" s="10"/>
      <c r="B11" s="10" t="s">
        <v>52</v>
      </c>
      <c r="C11" s="10" t="s">
        <v>53</v>
      </c>
      <c r="D11" s="10" t="s">
        <v>54</v>
      </c>
      <c r="E11" s="10" t="s">
        <v>55</v>
      </c>
      <c r="F11" s="10" t="s">
        <v>56</v>
      </c>
      <c r="G11" s="9"/>
      <c r="H11" s="9"/>
      <c r="I11" s="9"/>
      <c r="J11" s="9"/>
    </row>
    <row r="12" spans="1:12" ht="18.5" x14ac:dyDescent="0.45">
      <c r="A12" s="8" t="s">
        <v>48</v>
      </c>
      <c r="B12" s="8">
        <v>6</v>
      </c>
      <c r="C12" s="8">
        <v>217.65897588186129</v>
      </c>
      <c r="D12" s="8">
        <v>36.276495980310216</v>
      </c>
      <c r="E12" s="8">
        <v>34.723806303857067</v>
      </c>
      <c r="F12" s="8">
        <v>5.9835160601232177E-30</v>
      </c>
      <c r="G12" s="9"/>
      <c r="H12" s="9"/>
      <c r="I12" s="9"/>
      <c r="J12" s="9"/>
    </row>
    <row r="13" spans="1:12" ht="18.5" x14ac:dyDescent="0.45">
      <c r="A13" s="8" t="s">
        <v>49</v>
      </c>
      <c r="B13" s="8">
        <v>236</v>
      </c>
      <c r="C13" s="8">
        <v>246.55283975599878</v>
      </c>
      <c r="D13" s="8">
        <v>1.04471542269491</v>
      </c>
      <c r="E13" s="8"/>
      <c r="F13" s="8"/>
      <c r="G13" s="9"/>
      <c r="H13" s="9"/>
      <c r="I13" s="9"/>
      <c r="J13" s="9"/>
    </row>
    <row r="14" spans="1:12" ht="19" thickBot="1" x14ac:dyDescent="0.5">
      <c r="A14" s="11" t="s">
        <v>50</v>
      </c>
      <c r="B14" s="11">
        <v>242</v>
      </c>
      <c r="C14" s="11">
        <v>464.21181563786007</v>
      </c>
      <c r="D14" s="11"/>
      <c r="E14" s="11"/>
      <c r="F14" s="11"/>
      <c r="G14" s="9"/>
      <c r="H14" s="9"/>
      <c r="I14" s="9"/>
      <c r="J14" s="9"/>
    </row>
    <row r="15" spans="1:12" ht="18.5" x14ac:dyDescent="0.45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2" ht="51.5" customHeight="1" x14ac:dyDescent="0.45">
      <c r="A16" s="12"/>
      <c r="B16" s="12" t="s">
        <v>57</v>
      </c>
      <c r="C16" s="12" t="s">
        <v>45</v>
      </c>
      <c r="D16" s="12" t="s">
        <v>58</v>
      </c>
      <c r="E16" s="12" t="s">
        <v>59</v>
      </c>
      <c r="F16" s="12" t="s">
        <v>60</v>
      </c>
      <c r="G16" s="12" t="s">
        <v>61</v>
      </c>
      <c r="H16" s="12" t="s">
        <v>62</v>
      </c>
      <c r="I16" s="12" t="s">
        <v>63</v>
      </c>
      <c r="J16" s="13" t="s">
        <v>64</v>
      </c>
      <c r="K16" s="19" t="s">
        <v>80</v>
      </c>
      <c r="L16" s="6"/>
    </row>
    <row r="17" spans="1:18" ht="18.5" x14ac:dyDescent="0.45">
      <c r="A17" s="14" t="s">
        <v>51</v>
      </c>
      <c r="B17" s="14">
        <v>0.75944339705833919</v>
      </c>
      <c r="C17" s="14">
        <v>0.4008404718177967</v>
      </c>
      <c r="D17" s="14">
        <v>1.8946275400143391</v>
      </c>
      <c r="E17" s="14">
        <v>5.936425306531995E-2</v>
      </c>
      <c r="F17" s="14">
        <v>-3.0239129851718061E-2</v>
      </c>
      <c r="G17" s="14">
        <v>1.5491259239683965</v>
      </c>
      <c r="H17" s="14">
        <v>-3.0239129851718061E-2</v>
      </c>
      <c r="I17" s="14">
        <v>1.5491259239683965</v>
      </c>
      <c r="J17" s="15"/>
      <c r="K17" s="20"/>
    </row>
    <row r="18" spans="1:18" ht="18.5" x14ac:dyDescent="0.45">
      <c r="A18" s="14" t="s">
        <v>26</v>
      </c>
      <c r="B18" s="14">
        <v>3.7183538040686311E-2</v>
      </c>
      <c r="C18" s="14">
        <v>0.14111058831994691</v>
      </c>
      <c r="D18" s="14">
        <v>0.26350636393335886</v>
      </c>
      <c r="E18" s="14">
        <v>0.79239024746617603</v>
      </c>
      <c r="F18" s="14">
        <v>-0.24081375463018079</v>
      </c>
      <c r="G18" s="14">
        <v>0.31518083071155339</v>
      </c>
      <c r="H18" s="14">
        <v>-0.24081375463018079</v>
      </c>
      <c r="I18" s="14">
        <v>0.31518083071155339</v>
      </c>
      <c r="J18" s="15" t="s">
        <v>71</v>
      </c>
      <c r="K18" s="20" t="s">
        <v>79</v>
      </c>
    </row>
    <row r="19" spans="1:18" ht="18.5" x14ac:dyDescent="0.45">
      <c r="A19" s="14" t="s">
        <v>27</v>
      </c>
      <c r="B19" s="14">
        <v>-7.3687758526173666E-2</v>
      </c>
      <c r="C19" s="14">
        <v>0.14007061302271392</v>
      </c>
      <c r="D19" s="14">
        <v>-0.52607579088858858</v>
      </c>
      <c r="E19" s="14">
        <v>0.599329557284485</v>
      </c>
      <c r="F19" s="14">
        <v>-0.34963623033591701</v>
      </c>
      <c r="G19" s="14">
        <v>0.2022607132835697</v>
      </c>
      <c r="H19" s="14">
        <v>-0.34963623033591701</v>
      </c>
      <c r="I19" s="14">
        <v>0.2022607132835697</v>
      </c>
      <c r="J19" s="15" t="s">
        <v>73</v>
      </c>
      <c r="K19" s="20" t="s">
        <v>79</v>
      </c>
    </row>
    <row r="20" spans="1:18" ht="18.5" x14ac:dyDescent="0.45">
      <c r="A20" s="14" t="s">
        <v>28</v>
      </c>
      <c r="B20" s="14">
        <v>-5.3498842810068024E-2</v>
      </c>
      <c r="C20" s="14">
        <v>7.4899967748823681E-2</v>
      </c>
      <c r="D20" s="14">
        <v>-0.71427057204451516</v>
      </c>
      <c r="E20" s="14">
        <v>0.47576574868416877</v>
      </c>
      <c r="F20" s="14">
        <v>-0.20105678657044365</v>
      </c>
      <c r="G20" s="14">
        <v>9.4059100950307589E-2</v>
      </c>
      <c r="H20" s="14">
        <v>-0.20105678657044365</v>
      </c>
      <c r="I20" s="14">
        <v>9.4059100950307589E-2</v>
      </c>
      <c r="J20" s="15" t="s">
        <v>74</v>
      </c>
      <c r="K20" s="20" t="s">
        <v>79</v>
      </c>
    </row>
    <row r="21" spans="1:18" ht="27.5" customHeight="1" x14ac:dyDescent="0.45">
      <c r="A21" s="14" t="s">
        <v>29</v>
      </c>
      <c r="B21" s="14">
        <v>8.8727762736486165E-2</v>
      </c>
      <c r="C21" s="14">
        <v>0.1979455957295716</v>
      </c>
      <c r="D21" s="14">
        <v>0.44824317716926548</v>
      </c>
      <c r="E21" s="14">
        <v>0.65438894312712859</v>
      </c>
      <c r="F21" s="14">
        <v>-0.30123829412789616</v>
      </c>
      <c r="G21" s="14">
        <v>0.47869381960086843</v>
      </c>
      <c r="H21" s="14">
        <v>-0.30123829412789616</v>
      </c>
      <c r="I21" s="14">
        <v>0.47869381960086843</v>
      </c>
      <c r="J21" s="15" t="s">
        <v>72</v>
      </c>
      <c r="K21" s="20" t="s">
        <v>79</v>
      </c>
    </row>
    <row r="22" spans="1:18" ht="60" customHeight="1" x14ac:dyDescent="0.45">
      <c r="A22" s="17" t="s">
        <v>4</v>
      </c>
      <c r="B22" s="17">
        <v>0.17393311607359682</v>
      </c>
      <c r="C22" s="17">
        <v>8.8904699901314221E-2</v>
      </c>
      <c r="D22" s="17">
        <v>1.9563995634276437</v>
      </c>
      <c r="E22" s="17">
        <v>5.1597598924417953E-2</v>
      </c>
      <c r="F22" s="17">
        <v>-1.2150862869739765E-3</v>
      </c>
      <c r="G22" s="17">
        <v>0.34908131843416762</v>
      </c>
      <c r="H22" s="17">
        <v>-1.2150862869739765E-3</v>
      </c>
      <c r="I22" s="17">
        <v>0.34908131843416762</v>
      </c>
      <c r="J22" s="18" t="s">
        <v>76</v>
      </c>
      <c r="K22" s="19" t="s">
        <v>78</v>
      </c>
      <c r="L22" s="6"/>
      <c r="M22" s="6"/>
      <c r="N22" s="6"/>
      <c r="O22" s="6"/>
      <c r="P22" s="6"/>
      <c r="Q22" s="6"/>
      <c r="R22" s="6"/>
    </row>
    <row r="23" spans="1:18" ht="39" customHeight="1" x14ac:dyDescent="0.45">
      <c r="A23" s="14" t="s">
        <v>5</v>
      </c>
      <c r="B23" s="14">
        <v>9.4374030184376248E-2</v>
      </c>
      <c r="C23" s="14">
        <v>9.5509493783320631E-3</v>
      </c>
      <c r="D23" s="14">
        <v>9.8811151065756491</v>
      </c>
      <c r="E23" s="14">
        <v>1.7174986010942598E-19</v>
      </c>
      <c r="F23" s="14">
        <v>7.5558021398467914E-2</v>
      </c>
      <c r="G23" s="14">
        <v>0.11319003897028458</v>
      </c>
      <c r="H23" s="14">
        <v>7.5558021398467914E-2</v>
      </c>
      <c r="I23" s="14">
        <v>0.11319003897028458</v>
      </c>
      <c r="J23" s="16" t="s">
        <v>75</v>
      </c>
      <c r="K23" s="19" t="s">
        <v>78</v>
      </c>
      <c r="L23" s="6"/>
      <c r="M23" s="6"/>
      <c r="N23" s="6"/>
    </row>
    <row r="24" spans="1:18" ht="18.5" x14ac:dyDescent="0.45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8" ht="18.5" x14ac:dyDescent="0.45">
      <c r="A25" s="8"/>
      <c r="B25" s="8"/>
      <c r="C25" s="8"/>
      <c r="D25" s="9"/>
      <c r="E25" s="9"/>
      <c r="F25" s="9"/>
      <c r="G25" s="9"/>
      <c r="H25" s="9"/>
      <c r="I25" s="9"/>
      <c r="J25" s="9"/>
    </row>
    <row r="26" spans="1:18" x14ac:dyDescent="0.35">
      <c r="E26" s="21" t="s">
        <v>81</v>
      </c>
    </row>
    <row r="27" spans="1:18" x14ac:dyDescent="0.35">
      <c r="E27" s="21" t="s">
        <v>82</v>
      </c>
    </row>
    <row r="28" spans="1:18" x14ac:dyDescent="0.35">
      <c r="E28" s="21" t="s">
        <v>83</v>
      </c>
    </row>
  </sheetData>
  <conditionalFormatting sqref="A18:J23">
    <cfRule type="expression" dxfId="2" priority="1">
      <formula>$E18= 0.052</formula>
    </cfRule>
    <cfRule type="expression" dxfId="1" priority="2">
      <formula>$E18&gt;0.052</formula>
    </cfRule>
    <cfRule type="expression" dxfId="0" priority="3">
      <formula>$E18&lt;0.05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D2DC-3E80-4E5E-9CD4-144F5C366CFF}">
  <dimension ref="A1:M21"/>
  <sheetViews>
    <sheetView topLeftCell="A24" zoomScale="82" workbookViewId="0">
      <selection activeCell="W20" sqref="W20"/>
    </sheetView>
  </sheetViews>
  <sheetFormatPr defaultRowHeight="14.5" x14ac:dyDescent="0.35"/>
  <cols>
    <col min="1" max="1" width="5.7265625" customWidth="1"/>
    <col min="2" max="2" width="16.26953125" customWidth="1"/>
    <col min="3" max="3" width="13" customWidth="1"/>
    <col min="4" max="4" width="12.7265625" customWidth="1"/>
    <col min="5" max="5" width="14" customWidth="1"/>
    <col min="6" max="6" width="12.54296875" customWidth="1"/>
    <col min="7" max="7" width="13.26953125" customWidth="1"/>
    <col min="8" max="8" width="10.36328125" customWidth="1"/>
    <col min="9" max="9" width="12" customWidth="1"/>
    <col min="10" max="10" width="12.7265625" customWidth="1"/>
    <col min="12" max="13" width="17.36328125" customWidth="1"/>
  </cols>
  <sheetData>
    <row r="1" spans="2:13" x14ac:dyDescent="0.35">
      <c r="B1" s="2" t="s">
        <v>40</v>
      </c>
      <c r="C1" s="2"/>
      <c r="D1" s="2"/>
      <c r="E1" s="2"/>
      <c r="F1" s="2"/>
      <c r="G1" s="2"/>
      <c r="H1" s="2"/>
      <c r="I1" s="2"/>
      <c r="J1" s="2"/>
    </row>
    <row r="2" spans="2:13" ht="15" thickBot="1" x14ac:dyDescent="0.4">
      <c r="B2" s="2"/>
      <c r="C2" s="2"/>
      <c r="D2" s="2"/>
      <c r="E2" s="2"/>
      <c r="F2" s="2"/>
      <c r="G2" s="2"/>
      <c r="H2" s="2"/>
      <c r="I2" s="2"/>
      <c r="J2" s="2"/>
    </row>
    <row r="3" spans="2:13" x14ac:dyDescent="0.35">
      <c r="B3" s="22" t="s">
        <v>41</v>
      </c>
      <c r="C3" s="22"/>
      <c r="D3" s="2"/>
      <c r="E3" s="2"/>
      <c r="F3" s="2"/>
      <c r="G3" s="2"/>
      <c r="H3" s="2"/>
      <c r="I3" s="2"/>
      <c r="J3" s="2"/>
    </row>
    <row r="4" spans="2:13" x14ac:dyDescent="0.35">
      <c r="B4" s="2" t="s">
        <v>42</v>
      </c>
      <c r="C4" s="2">
        <v>0.68327752327495828</v>
      </c>
      <c r="D4" s="2"/>
      <c r="E4" s="2"/>
      <c r="F4" s="2"/>
      <c r="G4" s="2"/>
      <c r="H4" s="2"/>
      <c r="I4" s="2"/>
      <c r="J4" s="2"/>
    </row>
    <row r="5" spans="2:13" x14ac:dyDescent="0.35">
      <c r="B5" s="2" t="s">
        <v>43</v>
      </c>
      <c r="C5" s="2">
        <v>0.46686817381276113</v>
      </c>
      <c r="D5" s="2"/>
      <c r="E5" s="2"/>
      <c r="F5" s="2"/>
      <c r="G5" s="2"/>
      <c r="H5" s="2"/>
      <c r="I5" s="2"/>
      <c r="J5" s="2"/>
    </row>
    <row r="6" spans="2:13" x14ac:dyDescent="0.35">
      <c r="B6" s="2" t="s">
        <v>44</v>
      </c>
      <c r="C6" s="2">
        <v>0.46242540859453413</v>
      </c>
      <c r="D6" s="2"/>
      <c r="E6" s="2"/>
      <c r="F6" s="2"/>
      <c r="G6" s="2"/>
      <c r="H6" s="2"/>
      <c r="I6" s="2"/>
      <c r="J6" s="2"/>
    </row>
    <row r="7" spans="2:13" x14ac:dyDescent="0.35">
      <c r="B7" s="2" t="s">
        <v>45</v>
      </c>
      <c r="C7" s="2">
        <v>1.0154762696404789</v>
      </c>
      <c r="D7" s="2"/>
      <c r="E7" s="2"/>
      <c r="F7" s="2"/>
      <c r="G7" s="2"/>
      <c r="H7" s="2"/>
      <c r="I7" s="2"/>
      <c r="J7" s="2"/>
    </row>
    <row r="8" spans="2:13" ht="15" thickBot="1" x14ac:dyDescent="0.4">
      <c r="B8" s="23" t="s">
        <v>46</v>
      </c>
      <c r="C8" s="23">
        <v>243</v>
      </c>
      <c r="D8" s="2"/>
      <c r="E8" s="2"/>
      <c r="F8" s="2"/>
      <c r="G8" s="2"/>
      <c r="H8" s="2"/>
      <c r="I8" s="2"/>
      <c r="J8" s="2"/>
    </row>
    <row r="9" spans="2:13" x14ac:dyDescent="0.35">
      <c r="B9" s="2"/>
      <c r="C9" s="2"/>
      <c r="D9" s="2"/>
      <c r="E9" s="2"/>
      <c r="F9" s="2"/>
      <c r="G9" s="2"/>
      <c r="H9" s="2"/>
      <c r="I9" s="2"/>
      <c r="J9" s="2"/>
    </row>
    <row r="10" spans="2:13" ht="16" thickBot="1" x14ac:dyDescent="0.4">
      <c r="B10" s="2" t="s">
        <v>47</v>
      </c>
      <c r="C10" s="2"/>
      <c r="D10" s="2"/>
      <c r="E10" s="2"/>
      <c r="F10" s="2"/>
      <c r="G10" s="2"/>
      <c r="H10" s="2"/>
      <c r="I10" s="2"/>
      <c r="J10" s="2"/>
      <c r="L10" s="25" t="s">
        <v>84</v>
      </c>
      <c r="M10" s="26" t="s">
        <v>88</v>
      </c>
    </row>
    <row r="11" spans="2:13" ht="15.5" x14ac:dyDescent="0.35">
      <c r="B11" s="24"/>
      <c r="C11" s="24" t="s">
        <v>52</v>
      </c>
      <c r="D11" s="24" t="s">
        <v>53</v>
      </c>
      <c r="E11" s="24" t="s">
        <v>54</v>
      </c>
      <c r="F11" s="24" t="s">
        <v>55</v>
      </c>
      <c r="G11" s="24" t="s">
        <v>56</v>
      </c>
      <c r="H11" s="2"/>
      <c r="I11" s="2"/>
      <c r="J11" s="2"/>
      <c r="L11" s="26" t="s">
        <v>85</v>
      </c>
      <c r="M11" s="26">
        <v>6</v>
      </c>
    </row>
    <row r="12" spans="2:13" ht="15.5" x14ac:dyDescent="0.35">
      <c r="B12" s="2" t="s">
        <v>48</v>
      </c>
      <c r="C12" s="2">
        <v>2</v>
      </c>
      <c r="D12" s="2">
        <v>216.72572262915389</v>
      </c>
      <c r="E12" s="2">
        <v>108.36286131457695</v>
      </c>
      <c r="F12" s="2">
        <v>105.08504295869092</v>
      </c>
      <c r="G12" s="2">
        <v>1.6601720854756868E-33</v>
      </c>
      <c r="H12" s="2"/>
      <c r="I12" s="2"/>
      <c r="J12" s="2"/>
      <c r="L12" s="26" t="s">
        <v>86</v>
      </c>
      <c r="M12" s="26">
        <v>12</v>
      </c>
    </row>
    <row r="13" spans="2:13" ht="15.5" x14ac:dyDescent="0.35">
      <c r="B13" s="2" t="s">
        <v>49</v>
      </c>
      <c r="C13" s="2">
        <v>240</v>
      </c>
      <c r="D13" s="2">
        <v>247.48609300870618</v>
      </c>
      <c r="E13" s="2">
        <v>1.0311920542029425</v>
      </c>
      <c r="F13" s="2"/>
      <c r="G13" s="2"/>
      <c r="H13" s="2"/>
      <c r="I13" s="2"/>
      <c r="J13" s="2"/>
      <c r="L13" s="25" t="s">
        <v>87</v>
      </c>
      <c r="M13" s="26">
        <f>C17+(C18*M11)+(C19*M12)</f>
        <v>2.937890429938562</v>
      </c>
    </row>
    <row r="14" spans="2:13" ht="15" thickBot="1" x14ac:dyDescent="0.4">
      <c r="B14" s="23" t="s">
        <v>50</v>
      </c>
      <c r="C14" s="23">
        <v>242</v>
      </c>
      <c r="D14" s="23">
        <v>464.21181563786007</v>
      </c>
      <c r="E14" s="23"/>
      <c r="F14" s="23"/>
      <c r="G14" s="23"/>
      <c r="H14" s="2"/>
      <c r="I14" s="2"/>
      <c r="J14" s="2"/>
    </row>
    <row r="15" spans="2:13" ht="15" thickBot="1" x14ac:dyDescent="0.4">
      <c r="B15" s="2"/>
      <c r="C15" s="2"/>
      <c r="D15" s="2"/>
      <c r="E15" s="2"/>
      <c r="F15" s="2"/>
      <c r="G15" s="2"/>
      <c r="H15" s="2"/>
      <c r="I15" s="2"/>
      <c r="J15" s="2"/>
    </row>
    <row r="16" spans="2:13" x14ac:dyDescent="0.35">
      <c r="B16" s="24"/>
      <c r="C16" s="24" t="s">
        <v>57</v>
      </c>
      <c r="D16" s="24" t="s">
        <v>45</v>
      </c>
      <c r="E16" s="24" t="s">
        <v>58</v>
      </c>
      <c r="F16" s="24" t="s">
        <v>59</v>
      </c>
      <c r="G16" s="24" t="s">
        <v>60</v>
      </c>
      <c r="H16" s="24" t="s">
        <v>61</v>
      </c>
      <c r="I16" s="24" t="s">
        <v>62</v>
      </c>
      <c r="J16" s="24" t="s">
        <v>63</v>
      </c>
    </row>
    <row r="17" spans="1:10" x14ac:dyDescent="0.35">
      <c r="B17" s="2" t="s">
        <v>51</v>
      </c>
      <c r="C17" s="2">
        <v>0.67216379174424579</v>
      </c>
      <c r="D17" s="2">
        <v>0.19439185206207485</v>
      </c>
      <c r="E17" s="2">
        <v>3.4577776003163176</v>
      </c>
      <c r="F17" s="2">
        <v>6.4418197739886938E-4</v>
      </c>
      <c r="G17" s="2">
        <v>0.28923174208898639</v>
      </c>
      <c r="H17" s="2">
        <v>1.0550958413995053</v>
      </c>
      <c r="I17" s="2">
        <v>0.28923174208898639</v>
      </c>
      <c r="J17" s="2">
        <v>1.0550958413995053</v>
      </c>
    </row>
    <row r="18" spans="1:10" x14ac:dyDescent="0.35">
      <c r="B18" s="2" t="s">
        <v>4</v>
      </c>
      <c r="C18" s="2">
        <v>0.19234631605522332</v>
      </c>
      <c r="D18" s="2">
        <v>8.548604287998475E-2</v>
      </c>
      <c r="E18" s="2">
        <v>2.2500318130909562</v>
      </c>
      <c r="F18" s="2">
        <v>2.5353508519236206E-2</v>
      </c>
      <c r="G18" s="2">
        <v>2.3947562353876684E-2</v>
      </c>
      <c r="H18" s="2">
        <v>0.36074506975656995</v>
      </c>
      <c r="I18" s="2">
        <v>2.3947562353876684E-2</v>
      </c>
      <c r="J18" s="2">
        <v>0.36074506975656995</v>
      </c>
    </row>
    <row r="19" spans="1:10" ht="15" thickBot="1" x14ac:dyDescent="0.4">
      <c r="B19" s="23" t="s">
        <v>5</v>
      </c>
      <c r="C19" s="23">
        <v>9.2637395155248034E-2</v>
      </c>
      <c r="D19" s="23">
        <v>9.1372069203435671E-3</v>
      </c>
      <c r="E19" s="23">
        <v>10.138480606036749</v>
      </c>
      <c r="F19" s="23">
        <v>2.4602758705504625E-20</v>
      </c>
      <c r="G19" s="23">
        <v>7.4638032851656863E-2</v>
      </c>
      <c r="H19" s="23">
        <v>0.1106367574588392</v>
      </c>
      <c r="I19" s="23">
        <v>7.4638032851656863E-2</v>
      </c>
      <c r="J19" s="23">
        <v>0.1106367574588392</v>
      </c>
    </row>
    <row r="21" spans="1:10" x14ac:dyDescent="0.35">
      <c r="A21" s="2"/>
      <c r="B21" s="2"/>
      <c r="C21" s="2"/>
      <c r="D21" s="2"/>
      <c r="E21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17A6-4114-49A8-959B-9BAF25A210C9}">
  <dimension ref="A1:P244"/>
  <sheetViews>
    <sheetView workbookViewId="0">
      <selection activeCell="G9" sqref="G9"/>
    </sheetView>
  </sheetViews>
  <sheetFormatPr defaultRowHeight="14.5" x14ac:dyDescent="0.35"/>
  <cols>
    <col min="1" max="1" width="10.08984375" customWidth="1"/>
    <col min="2" max="2" width="12.453125" customWidth="1"/>
    <col min="3" max="3" width="13.90625" customWidth="1"/>
    <col min="4" max="4" width="12.90625" style="40" customWidth="1"/>
    <col min="6" max="6" width="10.54296875" customWidth="1"/>
    <col min="9" max="9" width="18.36328125" customWidth="1"/>
    <col min="10" max="10" width="17" customWidth="1"/>
    <col min="16" max="16" width="11.08984375" customWidth="1"/>
  </cols>
  <sheetData>
    <row r="1" spans="1:16" ht="15.5" x14ac:dyDescent="0.35">
      <c r="A1" s="28" t="s">
        <v>4</v>
      </c>
      <c r="B1" s="29" t="s">
        <v>5</v>
      </c>
      <c r="C1" s="29" t="s">
        <v>77</v>
      </c>
      <c r="D1" s="38" t="s">
        <v>89</v>
      </c>
      <c r="E1" s="29" t="s">
        <v>90</v>
      </c>
      <c r="F1" s="30" t="s">
        <v>91</v>
      </c>
    </row>
    <row r="2" spans="1:16" ht="15.5" x14ac:dyDescent="0.35">
      <c r="A2" s="27">
        <v>2</v>
      </c>
      <c r="B2" s="26">
        <v>16.989999999999998</v>
      </c>
      <c r="C2" s="26">
        <v>1.01</v>
      </c>
      <c r="D2" s="39">
        <f>$J$3+($J$4*Table1[[#This Row],[size]])+($J$5*Table1[[#This Row],[total_bill]])</f>
        <v>2.6307657675423561</v>
      </c>
      <c r="E2" s="39">
        <f>Table1[[#This Row],[Actual tip]]-Table1[[#This Row],[Predicted Tip]]</f>
        <v>-1.6207657675423561</v>
      </c>
      <c r="F2" s="41">
        <f>Table1[[#This Row],[Error]]^2</f>
        <v>2.6268816732371629</v>
      </c>
      <c r="I2" s="35" t="s">
        <v>92</v>
      </c>
      <c r="J2" s="36" t="s">
        <v>88</v>
      </c>
    </row>
    <row r="3" spans="1:16" ht="15.5" x14ac:dyDescent="0.35">
      <c r="A3" s="27">
        <v>3</v>
      </c>
      <c r="B3" s="26">
        <v>10.34</v>
      </c>
      <c r="C3" s="26">
        <v>1.66</v>
      </c>
      <c r="D3" s="39">
        <f>$J$3+($J$4*Table1[[#This Row],[size]])+($J$5*Table1[[#This Row],[total_bill]])</f>
        <v>2.2070734058151804</v>
      </c>
      <c r="E3" s="39">
        <f>Table1[[#This Row],[Actual tip]]-Table1[[#This Row],[Predicted Tip]]</f>
        <v>-0.54707340581518049</v>
      </c>
      <c r="F3" s="41">
        <f>Table1[[#This Row],[Error]]^2</f>
        <v>0.29928931135022113</v>
      </c>
      <c r="I3" s="33" t="s">
        <v>51</v>
      </c>
      <c r="J3" s="42">
        <v>0.67216379174424579</v>
      </c>
    </row>
    <row r="4" spans="1:16" ht="15.5" x14ac:dyDescent="0.35">
      <c r="A4" s="27">
        <v>3</v>
      </c>
      <c r="B4" s="26">
        <v>21.01</v>
      </c>
      <c r="C4" s="26">
        <v>3.5</v>
      </c>
      <c r="D4" s="39">
        <f>$J$3+($J$4*Table1[[#This Row],[size]])+($J$5*Table1[[#This Row],[total_bill]])</f>
        <v>3.195514412121677</v>
      </c>
      <c r="E4" s="39">
        <f>Table1[[#This Row],[Actual tip]]-Table1[[#This Row],[Predicted Tip]]</f>
        <v>0.30448558787832303</v>
      </c>
      <c r="F4" s="41">
        <f>Table1[[#This Row],[Error]]^2</f>
        <v>9.2711473225607979E-2</v>
      </c>
      <c r="I4" s="37" t="s">
        <v>4</v>
      </c>
      <c r="J4" s="43">
        <v>0.19234631605522332</v>
      </c>
    </row>
    <row r="5" spans="1:16" ht="15.5" x14ac:dyDescent="0.35">
      <c r="A5" s="27">
        <v>2</v>
      </c>
      <c r="B5" s="26">
        <v>23.68</v>
      </c>
      <c r="C5" s="26">
        <v>3.31</v>
      </c>
      <c r="D5" s="39">
        <f>$J$3+($J$4*Table1[[#This Row],[size]])+($J$5*Table1[[#This Row],[total_bill]])</f>
        <v>3.2505099411309657</v>
      </c>
      <c r="E5" s="39">
        <f>Table1[[#This Row],[Actual tip]]-Table1[[#This Row],[Predicted Tip]]</f>
        <v>5.9490058869034357E-2</v>
      </c>
      <c r="F5" s="41">
        <f>Table1[[#This Row],[Error]]^2</f>
        <v>3.5390671042411733E-3</v>
      </c>
      <c r="I5" s="34" t="s">
        <v>5</v>
      </c>
      <c r="J5" s="44">
        <v>9.2637395155248034E-2</v>
      </c>
    </row>
    <row r="6" spans="1:16" ht="15.5" x14ac:dyDescent="0.35">
      <c r="A6" s="27">
        <v>4</v>
      </c>
      <c r="B6" s="26">
        <v>24.59</v>
      </c>
      <c r="C6" s="26">
        <v>3.61</v>
      </c>
      <c r="D6" s="39">
        <f>$J$3+($J$4*Table1[[#This Row],[size]])+($J$5*Table1[[#This Row],[total_bill]])</f>
        <v>3.7195026028326881</v>
      </c>
      <c r="E6" s="39">
        <f>Table1[[#This Row],[Actual tip]]-Table1[[#This Row],[Predicted Tip]]</f>
        <v>-0.1095026028326882</v>
      </c>
      <c r="F6" s="41">
        <f>Table1[[#This Row],[Error]]^2</f>
        <v>1.1990820027133454E-2</v>
      </c>
    </row>
    <row r="7" spans="1:16" ht="15.5" x14ac:dyDescent="0.35">
      <c r="A7" s="27">
        <v>4</v>
      </c>
      <c r="B7" s="26">
        <v>25.29</v>
      </c>
      <c r="C7" s="26">
        <v>4.71</v>
      </c>
      <c r="D7" s="39">
        <f>$J$3+($J$4*Table1[[#This Row],[size]])+($J$5*Table1[[#This Row],[total_bill]])</f>
        <v>3.7843487794413617</v>
      </c>
      <c r="E7" s="39">
        <f>Table1[[#This Row],[Actual tip]]-Table1[[#This Row],[Predicted Tip]]</f>
        <v>0.92565122055863824</v>
      </c>
      <c r="F7" s="41">
        <f>Table1[[#This Row],[Error]]^2</f>
        <v>0.8568301821216967</v>
      </c>
    </row>
    <row r="8" spans="1:16" ht="15.5" x14ac:dyDescent="0.35">
      <c r="A8" s="27">
        <v>2</v>
      </c>
      <c r="B8" s="26">
        <v>8.77</v>
      </c>
      <c r="C8" s="26">
        <v>2</v>
      </c>
      <c r="D8" s="39">
        <f>$J$3+($J$4*Table1[[#This Row],[size]])+($J$5*Table1[[#This Row],[total_bill]])</f>
        <v>1.8692863793662178</v>
      </c>
      <c r="E8" s="39">
        <f>Table1[[#This Row],[Actual tip]]-Table1[[#This Row],[Predicted Tip]]</f>
        <v>0.13071362063378222</v>
      </c>
      <c r="F8" s="41">
        <f>Table1[[#This Row],[Error]]^2</f>
        <v>1.7086050619192338E-2</v>
      </c>
    </row>
    <row r="9" spans="1:16" ht="15.5" x14ac:dyDescent="0.35">
      <c r="A9" s="27">
        <v>4</v>
      </c>
      <c r="B9" s="26">
        <v>26.88</v>
      </c>
      <c r="C9" s="26">
        <v>3.12</v>
      </c>
      <c r="D9" s="39">
        <f>$J$3+($J$4*Table1[[#This Row],[size]])+($J$5*Table1[[#This Row],[total_bill]])</f>
        <v>3.9316422377382061</v>
      </c>
      <c r="E9" s="39">
        <f>Table1[[#This Row],[Actual tip]]-Table1[[#This Row],[Predicted Tip]]</f>
        <v>-0.81164223773820598</v>
      </c>
      <c r="F9" s="41">
        <f>Table1[[#This Row],[Error]]^2</f>
        <v>0.65876312208068244</v>
      </c>
    </row>
    <row r="10" spans="1:16" ht="15.5" x14ac:dyDescent="0.35">
      <c r="A10" s="27">
        <v>2</v>
      </c>
      <c r="B10" s="26">
        <v>15.04</v>
      </c>
      <c r="C10" s="26">
        <v>1.96</v>
      </c>
      <c r="D10" s="39">
        <f>$J$3+($J$4*Table1[[#This Row],[size]])+($J$5*Table1[[#This Row],[total_bill]])</f>
        <v>2.4501228469896228</v>
      </c>
      <c r="E10" s="39">
        <f>Table1[[#This Row],[Actual tip]]-Table1[[#This Row],[Predicted Tip]]</f>
        <v>-0.49012284698962283</v>
      </c>
      <c r="F10" s="41">
        <f>Table1[[#This Row],[Error]]^2</f>
        <v>0.24022040514121323</v>
      </c>
    </row>
    <row r="11" spans="1:16" ht="15.5" x14ac:dyDescent="0.35">
      <c r="A11" s="27">
        <v>2</v>
      </c>
      <c r="B11" s="26">
        <v>14.78</v>
      </c>
      <c r="C11" s="26">
        <v>3.23</v>
      </c>
      <c r="D11" s="39">
        <f>$J$3+($J$4*Table1[[#This Row],[size]])+($J$5*Table1[[#This Row],[total_bill]])</f>
        <v>2.4260371242492584</v>
      </c>
      <c r="E11" s="39">
        <f>Table1[[#This Row],[Actual tip]]-Table1[[#This Row],[Predicted Tip]]</f>
        <v>0.80396287575074155</v>
      </c>
      <c r="F11" s="41">
        <f>Table1[[#This Row],[Error]]^2</f>
        <v>0.64635630558540225</v>
      </c>
    </row>
    <row r="12" spans="1:16" ht="15.5" x14ac:dyDescent="0.35">
      <c r="A12" s="27">
        <v>2</v>
      </c>
      <c r="B12" s="26">
        <v>10.27</v>
      </c>
      <c r="C12" s="26">
        <v>1.71</v>
      </c>
      <c r="D12" s="39">
        <f>$J$3+($J$4*Table1[[#This Row],[size]])+($J$5*Table1[[#This Row],[total_bill]])</f>
        <v>2.0082424720990897</v>
      </c>
      <c r="E12" s="39">
        <f>Table1[[#This Row],[Actual tip]]-Table1[[#This Row],[Predicted Tip]]</f>
        <v>-0.29824247209908972</v>
      </c>
      <c r="F12" s="41">
        <f>Table1[[#This Row],[Error]]^2</f>
        <v>8.8948572163776302E-2</v>
      </c>
    </row>
    <row r="13" spans="1:16" ht="15.5" x14ac:dyDescent="0.35">
      <c r="A13" s="27">
        <v>4</v>
      </c>
      <c r="B13" s="26">
        <v>35.26</v>
      </c>
      <c r="C13" s="26">
        <v>5</v>
      </c>
      <c r="D13" s="39">
        <f>$J$3+($J$4*Table1[[#This Row],[size]])+($J$5*Table1[[#This Row],[total_bill]])</f>
        <v>4.7079436091391846</v>
      </c>
      <c r="E13" s="39">
        <f>Table1[[#This Row],[Actual tip]]-Table1[[#This Row],[Predicted Tip]]</f>
        <v>0.29205639086081536</v>
      </c>
      <c r="F13" s="41">
        <f>Table1[[#This Row],[Error]]^2</f>
        <v>8.5296935442645355E-2</v>
      </c>
      <c r="I13" s="2"/>
      <c r="J13" s="2"/>
      <c r="K13" s="2"/>
      <c r="L13" s="2"/>
      <c r="M13" s="2"/>
      <c r="N13" s="2"/>
      <c r="O13" s="2"/>
      <c r="P13" s="2"/>
    </row>
    <row r="14" spans="1:16" ht="15.5" x14ac:dyDescent="0.35">
      <c r="A14" s="27">
        <v>2</v>
      </c>
      <c r="B14" s="26">
        <v>15.42</v>
      </c>
      <c r="C14" s="26">
        <v>1.57</v>
      </c>
      <c r="D14" s="39">
        <f>$J$3+($J$4*Table1[[#This Row],[size]])+($J$5*Table1[[#This Row],[total_bill]])</f>
        <v>2.485325057148617</v>
      </c>
      <c r="E14" s="39">
        <f>Table1[[#This Row],[Actual tip]]-Table1[[#This Row],[Predicted Tip]]</f>
        <v>-0.91532505714861689</v>
      </c>
      <c r="F14" s="41">
        <f>Table1[[#This Row],[Error]]^2</f>
        <v>0.83781996024411876</v>
      </c>
    </row>
    <row r="15" spans="1:16" ht="15.5" x14ac:dyDescent="0.35">
      <c r="A15" s="27">
        <v>4</v>
      </c>
      <c r="B15" s="26">
        <v>18.43</v>
      </c>
      <c r="C15" s="26">
        <v>3</v>
      </c>
      <c r="D15" s="39">
        <f>$J$3+($J$4*Table1[[#This Row],[size]])+($J$5*Table1[[#This Row],[total_bill]])</f>
        <v>3.1488562486763603</v>
      </c>
      <c r="E15" s="39">
        <f>Table1[[#This Row],[Actual tip]]-Table1[[#This Row],[Predicted Tip]]</f>
        <v>-0.14885624867636027</v>
      </c>
      <c r="F15" s="41">
        <f>Table1[[#This Row],[Error]]^2</f>
        <v>2.2158182769998407E-2</v>
      </c>
    </row>
    <row r="16" spans="1:16" ht="15.5" x14ac:dyDescent="0.35">
      <c r="A16" s="27">
        <v>2</v>
      </c>
      <c r="B16" s="26">
        <v>14.83</v>
      </c>
      <c r="C16" s="26">
        <v>3.02</v>
      </c>
      <c r="D16" s="39">
        <f>$J$3+($J$4*Table1[[#This Row],[size]])+($J$5*Table1[[#This Row],[total_bill]])</f>
        <v>2.4306689940070205</v>
      </c>
      <c r="E16" s="39">
        <f>Table1[[#This Row],[Actual tip]]-Table1[[#This Row],[Predicted Tip]]</f>
        <v>0.5893310059929795</v>
      </c>
      <c r="F16" s="41">
        <f>Table1[[#This Row],[Error]]^2</f>
        <v>0.34731103462469726</v>
      </c>
    </row>
    <row r="17" spans="1:6" ht="15.5" x14ac:dyDescent="0.35">
      <c r="A17" s="27">
        <v>2</v>
      </c>
      <c r="B17" s="26">
        <v>21.58</v>
      </c>
      <c r="C17" s="26">
        <v>3.92</v>
      </c>
      <c r="D17" s="39">
        <f>$J$3+($J$4*Table1[[#This Row],[size]])+($J$5*Table1[[#This Row],[total_bill]])</f>
        <v>3.0559714113049452</v>
      </c>
      <c r="E17" s="39">
        <f>Table1[[#This Row],[Actual tip]]-Table1[[#This Row],[Predicted Tip]]</f>
        <v>0.86402858869505472</v>
      </c>
      <c r="F17" s="41">
        <f>Table1[[#This Row],[Error]]^2</f>
        <v>0.74654540208236808</v>
      </c>
    </row>
    <row r="18" spans="1:6" ht="15.5" x14ac:dyDescent="0.35">
      <c r="A18" s="27">
        <v>3</v>
      </c>
      <c r="B18" s="26">
        <v>10.33</v>
      </c>
      <c r="C18" s="26">
        <v>1.67</v>
      </c>
      <c r="D18" s="39">
        <f>$J$3+($J$4*Table1[[#This Row],[size]])+($J$5*Table1[[#This Row],[total_bill]])</f>
        <v>2.2061470318636278</v>
      </c>
      <c r="E18" s="39">
        <f>Table1[[#This Row],[Actual tip]]-Table1[[#This Row],[Predicted Tip]]</f>
        <v>-0.53614703186362789</v>
      </c>
      <c r="F18" s="41">
        <f>Table1[[#This Row],[Error]]^2</f>
        <v>0.28745363977617799</v>
      </c>
    </row>
    <row r="19" spans="1:6" ht="15.5" x14ac:dyDescent="0.35">
      <c r="A19" s="27">
        <v>3</v>
      </c>
      <c r="B19" s="26">
        <v>16.29</v>
      </c>
      <c r="C19" s="26">
        <v>3.71</v>
      </c>
      <c r="D19" s="39">
        <f>$J$3+($J$4*Table1[[#This Row],[size]])+($J$5*Table1[[#This Row],[total_bill]])</f>
        <v>2.7582659069889059</v>
      </c>
      <c r="E19" s="39">
        <f>Table1[[#This Row],[Actual tip]]-Table1[[#This Row],[Predicted Tip]]</f>
        <v>0.95173409301109402</v>
      </c>
      <c r="F19" s="41">
        <f>Table1[[#This Row],[Error]]^2</f>
        <v>0.90579778379964981</v>
      </c>
    </row>
    <row r="20" spans="1:6" ht="15.5" x14ac:dyDescent="0.35">
      <c r="A20" s="27">
        <v>3</v>
      </c>
      <c r="B20" s="26">
        <v>16.97</v>
      </c>
      <c r="C20" s="26">
        <v>3.5</v>
      </c>
      <c r="D20" s="39">
        <f>$J$3+($J$4*Table1[[#This Row],[size]])+($J$5*Table1[[#This Row],[total_bill]])</f>
        <v>2.8212593356944748</v>
      </c>
      <c r="E20" s="39">
        <f>Table1[[#This Row],[Actual tip]]-Table1[[#This Row],[Predicted Tip]]</f>
        <v>0.67874066430552515</v>
      </c>
      <c r="F20" s="41">
        <f>Table1[[#This Row],[Error]]^2</f>
        <v>0.46068888938190561</v>
      </c>
    </row>
    <row r="21" spans="1:6" ht="15.5" x14ac:dyDescent="0.35">
      <c r="A21" s="27">
        <v>3</v>
      </c>
      <c r="B21" s="26">
        <v>20.65</v>
      </c>
      <c r="C21" s="26">
        <v>3.35</v>
      </c>
      <c r="D21" s="39">
        <f>$J$3+($J$4*Table1[[#This Row],[size]])+($J$5*Table1[[#This Row],[total_bill]])</f>
        <v>3.1621649498657876</v>
      </c>
      <c r="E21" s="39">
        <f>Table1[[#This Row],[Actual tip]]-Table1[[#This Row],[Predicted Tip]]</f>
        <v>0.18783505013421253</v>
      </c>
      <c r="F21" s="41">
        <f>Table1[[#This Row],[Error]]^2</f>
        <v>3.5282006058922136E-2</v>
      </c>
    </row>
    <row r="22" spans="1:6" ht="15.5" x14ac:dyDescent="0.35">
      <c r="A22" s="27">
        <v>2</v>
      </c>
      <c r="B22" s="26">
        <v>17.920000000000002</v>
      </c>
      <c r="C22" s="26">
        <v>4.08</v>
      </c>
      <c r="D22" s="39">
        <f>$J$3+($J$4*Table1[[#This Row],[size]])+($J$5*Table1[[#This Row],[total_bill]])</f>
        <v>2.7169185450367372</v>
      </c>
      <c r="E22" s="39">
        <f>Table1[[#This Row],[Actual tip]]-Table1[[#This Row],[Predicted Tip]]</f>
        <v>1.3630814549632628</v>
      </c>
      <c r="F22" s="41">
        <f>Table1[[#This Row],[Error]]^2</f>
        <v>1.8579910528647654</v>
      </c>
    </row>
    <row r="23" spans="1:6" ht="15.5" x14ac:dyDescent="0.35">
      <c r="A23" s="27">
        <v>2</v>
      </c>
      <c r="B23" s="26">
        <v>20.29</v>
      </c>
      <c r="C23" s="26">
        <v>2.75</v>
      </c>
      <c r="D23" s="39">
        <f>$J$3+($J$4*Table1[[#This Row],[size]])+($J$5*Table1[[#This Row],[total_bill]])</f>
        <v>2.9364691715546751</v>
      </c>
      <c r="E23" s="39">
        <f>Table1[[#This Row],[Actual tip]]-Table1[[#This Row],[Predicted Tip]]</f>
        <v>-0.18646917155467513</v>
      </c>
      <c r="F23" s="41">
        <f>Table1[[#This Row],[Error]]^2</f>
        <v>3.4770751940286865E-2</v>
      </c>
    </row>
    <row r="24" spans="1:6" ht="15.5" x14ac:dyDescent="0.35">
      <c r="A24" s="27">
        <v>2</v>
      </c>
      <c r="B24" s="26">
        <v>15.77</v>
      </c>
      <c r="C24" s="26">
        <v>2.23</v>
      </c>
      <c r="D24" s="39">
        <f>$J$3+($J$4*Table1[[#This Row],[size]])+($J$5*Table1[[#This Row],[total_bill]])</f>
        <v>2.5177481454529538</v>
      </c>
      <c r="E24" s="39">
        <f>Table1[[#This Row],[Actual tip]]-Table1[[#This Row],[Predicted Tip]]</f>
        <v>-0.2877481454529538</v>
      </c>
      <c r="F24" s="41">
        <f>Table1[[#This Row],[Error]]^2</f>
        <v>8.2798995211614254E-2</v>
      </c>
    </row>
    <row r="25" spans="1:6" ht="15.5" x14ac:dyDescent="0.35">
      <c r="A25" s="27">
        <v>4</v>
      </c>
      <c r="B25" s="26">
        <v>39.42</v>
      </c>
      <c r="C25" s="26">
        <v>7.58</v>
      </c>
      <c r="D25" s="39">
        <f>$J$3+($J$4*Table1[[#This Row],[size]])+($J$5*Table1[[#This Row],[total_bill]])</f>
        <v>5.093315172985017</v>
      </c>
      <c r="E25" s="39">
        <f>Table1[[#This Row],[Actual tip]]-Table1[[#This Row],[Predicted Tip]]</f>
        <v>2.4866848270149831</v>
      </c>
      <c r="F25" s="41">
        <f>Table1[[#This Row],[Error]]^2</f>
        <v>6.1836014289065364</v>
      </c>
    </row>
    <row r="26" spans="1:6" ht="15.5" x14ac:dyDescent="0.35">
      <c r="A26" s="27">
        <v>2</v>
      </c>
      <c r="B26" s="26">
        <v>19.82</v>
      </c>
      <c r="C26" s="26">
        <v>3.18</v>
      </c>
      <c r="D26" s="39">
        <f>$J$3+($J$4*Table1[[#This Row],[size]])+($J$5*Table1[[#This Row],[total_bill]])</f>
        <v>2.8929295958317085</v>
      </c>
      <c r="E26" s="39">
        <f>Table1[[#This Row],[Actual tip]]-Table1[[#This Row],[Predicted Tip]]</f>
        <v>0.28707040416829166</v>
      </c>
      <c r="F26" s="41">
        <f>Table1[[#This Row],[Error]]^2</f>
        <v>8.2409416949346323E-2</v>
      </c>
    </row>
    <row r="27" spans="1:6" ht="15.5" x14ac:dyDescent="0.35">
      <c r="A27" s="27">
        <v>4</v>
      </c>
      <c r="B27" s="26">
        <v>17.809999999999999</v>
      </c>
      <c r="C27" s="26">
        <v>2.34</v>
      </c>
      <c r="D27" s="39">
        <f>$J$3+($J$4*Table1[[#This Row],[size]])+($J$5*Table1[[#This Row],[total_bill]])</f>
        <v>3.0914210636801061</v>
      </c>
      <c r="E27" s="39">
        <f>Table1[[#This Row],[Actual tip]]-Table1[[#This Row],[Predicted Tip]]</f>
        <v>-0.75142106368010619</v>
      </c>
      <c r="F27" s="41">
        <f>Table1[[#This Row],[Error]]^2</f>
        <v>0.56463361494214226</v>
      </c>
    </row>
    <row r="28" spans="1:6" ht="15.5" x14ac:dyDescent="0.35">
      <c r="A28" s="27">
        <v>2</v>
      </c>
      <c r="B28" s="26">
        <v>13.37</v>
      </c>
      <c r="C28" s="26">
        <v>2</v>
      </c>
      <c r="D28" s="39">
        <f>$J$3+($J$4*Table1[[#This Row],[size]])+($J$5*Table1[[#This Row],[total_bill]])</f>
        <v>2.2954183970803586</v>
      </c>
      <c r="E28" s="39">
        <f>Table1[[#This Row],[Actual tip]]-Table1[[#This Row],[Predicted Tip]]</f>
        <v>-0.29541839708035855</v>
      </c>
      <c r="F28" s="41">
        <f>Table1[[#This Row],[Error]]^2</f>
        <v>8.72720293335284E-2</v>
      </c>
    </row>
    <row r="29" spans="1:6" ht="15.5" x14ac:dyDescent="0.35">
      <c r="A29" s="27">
        <v>2</v>
      </c>
      <c r="B29" s="26">
        <v>12.69</v>
      </c>
      <c r="C29" s="26">
        <v>2</v>
      </c>
      <c r="D29" s="39">
        <f>$J$3+($J$4*Table1[[#This Row],[size]])+($J$5*Table1[[#This Row],[total_bill]])</f>
        <v>2.2324249683747901</v>
      </c>
      <c r="E29" s="39">
        <f>Table1[[#This Row],[Actual tip]]-Table1[[#This Row],[Predicted Tip]]</f>
        <v>-0.2324249683747901</v>
      </c>
      <c r="F29" s="41">
        <f>Table1[[#This Row],[Error]]^2</f>
        <v>5.402136592402218E-2</v>
      </c>
    </row>
    <row r="30" spans="1:6" ht="15.5" x14ac:dyDescent="0.35">
      <c r="A30" s="27">
        <v>2</v>
      </c>
      <c r="B30" s="26">
        <v>21.7</v>
      </c>
      <c r="C30" s="26">
        <v>4.3</v>
      </c>
      <c r="D30" s="39">
        <f>$J$3+($J$4*Table1[[#This Row],[size]])+($J$5*Table1[[#This Row],[total_bill]])</f>
        <v>3.0670878987235746</v>
      </c>
      <c r="E30" s="39">
        <f>Table1[[#This Row],[Actual tip]]-Table1[[#This Row],[Predicted Tip]]</f>
        <v>1.2329121012764253</v>
      </c>
      <c r="F30" s="41">
        <f>Table1[[#This Row],[Error]]^2</f>
        <v>1.5200722494738503</v>
      </c>
    </row>
    <row r="31" spans="1:6" ht="15.5" x14ac:dyDescent="0.35">
      <c r="A31" s="27">
        <v>2</v>
      </c>
      <c r="B31" s="26">
        <v>19.649999999999999</v>
      </c>
      <c r="C31" s="26">
        <v>3</v>
      </c>
      <c r="D31" s="39">
        <f>$J$3+($J$4*Table1[[#This Row],[size]])+($J$5*Table1[[#This Row],[total_bill]])</f>
        <v>2.8771812386553162</v>
      </c>
      <c r="E31" s="39">
        <f>Table1[[#This Row],[Actual tip]]-Table1[[#This Row],[Predicted Tip]]</f>
        <v>0.12281876134468384</v>
      </c>
      <c r="F31" s="41">
        <f>Table1[[#This Row],[Error]]^2</f>
        <v>1.5084448138242404E-2</v>
      </c>
    </row>
    <row r="32" spans="1:6" ht="15.5" x14ac:dyDescent="0.35">
      <c r="A32" s="27">
        <v>2</v>
      </c>
      <c r="B32" s="26">
        <v>9.5500000000000007</v>
      </c>
      <c r="C32" s="26">
        <v>1.45</v>
      </c>
      <c r="D32" s="39">
        <f>$J$3+($J$4*Table1[[#This Row],[size]])+($J$5*Table1[[#This Row],[total_bill]])</f>
        <v>1.9415435475873113</v>
      </c>
      <c r="E32" s="39">
        <f>Table1[[#This Row],[Actual tip]]-Table1[[#This Row],[Predicted Tip]]</f>
        <v>-0.49154354758731134</v>
      </c>
      <c r="F32" s="41">
        <f>Table1[[#This Row],[Error]]^2</f>
        <v>0.2416150591747194</v>
      </c>
    </row>
    <row r="33" spans="1:6" ht="15.5" x14ac:dyDescent="0.35">
      <c r="A33" s="27">
        <v>4</v>
      </c>
      <c r="B33" s="26">
        <v>18.350000000000001</v>
      </c>
      <c r="C33" s="26">
        <v>2.5</v>
      </c>
      <c r="D33" s="39">
        <f>$J$3+($J$4*Table1[[#This Row],[size]])+($J$5*Table1[[#This Row],[total_bill]])</f>
        <v>3.1414452570639404</v>
      </c>
      <c r="E33" s="39">
        <f>Table1[[#This Row],[Actual tip]]-Table1[[#This Row],[Predicted Tip]]</f>
        <v>-0.6414452570639404</v>
      </c>
      <c r="F33" s="41">
        <f>Table1[[#This Row],[Error]]^2</f>
        <v>0.4114520178098246</v>
      </c>
    </row>
    <row r="34" spans="1:6" ht="15.5" x14ac:dyDescent="0.35">
      <c r="A34" s="27">
        <v>2</v>
      </c>
      <c r="B34" s="26">
        <v>15.06</v>
      </c>
      <c r="C34" s="26">
        <v>3</v>
      </c>
      <c r="D34" s="39">
        <f>$J$3+($J$4*Table1[[#This Row],[size]])+($J$5*Table1[[#This Row],[total_bill]])</f>
        <v>2.451975594892728</v>
      </c>
      <c r="E34" s="39">
        <f>Table1[[#This Row],[Actual tip]]-Table1[[#This Row],[Predicted Tip]]</f>
        <v>0.54802440510727202</v>
      </c>
      <c r="F34" s="41">
        <f>Table1[[#This Row],[Error]]^2</f>
        <v>0.30033074859317938</v>
      </c>
    </row>
    <row r="35" spans="1:6" ht="15.5" x14ac:dyDescent="0.35">
      <c r="A35" s="27">
        <v>4</v>
      </c>
      <c r="B35" s="26">
        <v>20.69</v>
      </c>
      <c r="C35" s="26">
        <v>2.4500000000000002</v>
      </c>
      <c r="D35" s="39">
        <f>$J$3+($J$4*Table1[[#This Row],[size]])+($J$5*Table1[[#This Row],[total_bill]])</f>
        <v>3.3582167617272209</v>
      </c>
      <c r="E35" s="39">
        <f>Table1[[#This Row],[Actual tip]]-Table1[[#This Row],[Predicted Tip]]</f>
        <v>-0.90821676172722077</v>
      </c>
      <c r="F35" s="41">
        <f>Table1[[#This Row],[Error]]^2</f>
        <v>0.82485768628227929</v>
      </c>
    </row>
    <row r="36" spans="1:6" ht="15.5" x14ac:dyDescent="0.35">
      <c r="A36" s="27">
        <v>2</v>
      </c>
      <c r="B36" s="26">
        <v>17.78</v>
      </c>
      <c r="C36" s="26">
        <v>3.27</v>
      </c>
      <c r="D36" s="39">
        <f>$J$3+($J$4*Table1[[#This Row],[size]])+($J$5*Table1[[#This Row],[total_bill]])</f>
        <v>2.7039493097150027</v>
      </c>
      <c r="E36" s="39">
        <f>Table1[[#This Row],[Actual tip]]-Table1[[#This Row],[Predicted Tip]]</f>
        <v>0.56605069028499733</v>
      </c>
      <c r="F36" s="41">
        <f>Table1[[#This Row],[Error]]^2</f>
        <v>0.32041338397212199</v>
      </c>
    </row>
    <row r="37" spans="1:6" ht="15.5" x14ac:dyDescent="0.35">
      <c r="A37" s="27">
        <v>3</v>
      </c>
      <c r="B37" s="26">
        <v>24.06</v>
      </c>
      <c r="C37" s="26">
        <v>3.6</v>
      </c>
      <c r="D37" s="39">
        <f>$J$3+($J$4*Table1[[#This Row],[size]])+($J$5*Table1[[#This Row],[total_bill]])</f>
        <v>3.4780584673451829</v>
      </c>
      <c r="E37" s="39">
        <f>Table1[[#This Row],[Actual tip]]-Table1[[#This Row],[Predicted Tip]]</f>
        <v>0.12194153265481722</v>
      </c>
      <c r="F37" s="41">
        <f>Table1[[#This Row],[Error]]^2</f>
        <v>1.4869737386205855E-2</v>
      </c>
    </row>
    <row r="38" spans="1:6" ht="15.5" x14ac:dyDescent="0.35">
      <c r="A38" s="27">
        <v>3</v>
      </c>
      <c r="B38" s="26">
        <v>16.309999999999999</v>
      </c>
      <c r="C38" s="26">
        <v>2</v>
      </c>
      <c r="D38" s="39">
        <f>$J$3+($J$4*Table1[[#This Row],[size]])+($J$5*Table1[[#This Row],[total_bill]])</f>
        <v>2.7601186548920111</v>
      </c>
      <c r="E38" s="39">
        <f>Table1[[#This Row],[Actual tip]]-Table1[[#This Row],[Predicted Tip]]</f>
        <v>-0.76011865489201114</v>
      </c>
      <c r="F38" s="41">
        <f>Table1[[#This Row],[Error]]^2</f>
        <v>0.57778036951484035</v>
      </c>
    </row>
    <row r="39" spans="1:6" ht="15.5" x14ac:dyDescent="0.35">
      <c r="A39" s="27">
        <v>3</v>
      </c>
      <c r="B39" s="26">
        <v>16.93</v>
      </c>
      <c r="C39" s="26">
        <v>3.07</v>
      </c>
      <c r="D39" s="39">
        <f>$J$3+($J$4*Table1[[#This Row],[size]])+($J$5*Table1[[#This Row],[total_bill]])</f>
        <v>2.8175538398882649</v>
      </c>
      <c r="E39" s="39">
        <f>Table1[[#This Row],[Actual tip]]-Table1[[#This Row],[Predicted Tip]]</f>
        <v>0.25244616011173493</v>
      </c>
      <c r="F39" s="41">
        <f>Table1[[#This Row],[Error]]^2</f>
        <v>6.3729063755159701E-2</v>
      </c>
    </row>
    <row r="40" spans="1:6" ht="15.5" x14ac:dyDescent="0.35">
      <c r="A40" s="27">
        <v>3</v>
      </c>
      <c r="B40" s="26">
        <v>18.690000000000001</v>
      </c>
      <c r="C40" s="26">
        <v>2.31</v>
      </c>
      <c r="D40" s="39">
        <f>$J$3+($J$4*Table1[[#This Row],[size]])+($J$5*Table1[[#This Row],[total_bill]])</f>
        <v>2.9805956553615016</v>
      </c>
      <c r="E40" s="39">
        <f>Table1[[#This Row],[Actual tip]]-Table1[[#This Row],[Predicted Tip]]</f>
        <v>-0.67059565536150156</v>
      </c>
      <c r="F40" s="41">
        <f>Table1[[#This Row],[Error]]^2</f>
        <v>0.44969853298972179</v>
      </c>
    </row>
    <row r="41" spans="1:6" ht="15.5" x14ac:dyDescent="0.35">
      <c r="A41" s="27">
        <v>3</v>
      </c>
      <c r="B41" s="26">
        <v>31.27</v>
      </c>
      <c r="C41" s="26">
        <v>5</v>
      </c>
      <c r="D41" s="39">
        <f>$J$3+($J$4*Table1[[#This Row],[size]])+($J$5*Table1[[#This Row],[total_bill]])</f>
        <v>4.1459740864145216</v>
      </c>
      <c r="E41" s="39">
        <f>Table1[[#This Row],[Actual tip]]-Table1[[#This Row],[Predicted Tip]]</f>
        <v>0.85402591358547841</v>
      </c>
      <c r="F41" s="41">
        <f>Table1[[#This Row],[Error]]^2</f>
        <v>0.729360261075511</v>
      </c>
    </row>
    <row r="42" spans="1:6" ht="15.5" x14ac:dyDescent="0.35">
      <c r="A42" s="27">
        <v>3</v>
      </c>
      <c r="B42" s="26">
        <v>16.04</v>
      </c>
      <c r="C42" s="26">
        <v>2.2400000000000002</v>
      </c>
      <c r="D42" s="39">
        <f>$J$3+($J$4*Table1[[#This Row],[size]])+($J$5*Table1[[#This Row],[total_bill]])</f>
        <v>2.7351065582000942</v>
      </c>
      <c r="E42" s="39">
        <f>Table1[[#This Row],[Actual tip]]-Table1[[#This Row],[Predicted Tip]]</f>
        <v>-0.49510655820009397</v>
      </c>
      <c r="F42" s="41">
        <f>Table1[[#This Row],[Error]]^2</f>
        <v>0.24513050397274305</v>
      </c>
    </row>
    <row r="43" spans="1:6" ht="15.5" x14ac:dyDescent="0.35">
      <c r="A43" s="27">
        <v>2</v>
      </c>
      <c r="B43" s="26">
        <v>17.46</v>
      </c>
      <c r="C43" s="26">
        <v>2.54</v>
      </c>
      <c r="D43" s="39">
        <f>$J$3+($J$4*Table1[[#This Row],[size]])+($J$5*Table1[[#This Row],[total_bill]])</f>
        <v>2.6743053432653232</v>
      </c>
      <c r="E43" s="39">
        <f>Table1[[#This Row],[Actual tip]]-Table1[[#This Row],[Predicted Tip]]</f>
        <v>-0.13430534326532317</v>
      </c>
      <c r="F43" s="41">
        <f>Table1[[#This Row],[Error]]^2</f>
        <v>1.8037925229616288E-2</v>
      </c>
    </row>
    <row r="44" spans="1:6" ht="15.5" x14ac:dyDescent="0.35">
      <c r="A44" s="27">
        <v>2</v>
      </c>
      <c r="B44" s="26">
        <v>13.94</v>
      </c>
      <c r="C44" s="26">
        <v>3.06</v>
      </c>
      <c r="D44" s="39">
        <f>$J$3+($J$4*Table1[[#This Row],[size]])+($J$5*Table1[[#This Row],[total_bill]])</f>
        <v>2.3482217123188498</v>
      </c>
      <c r="E44" s="39">
        <f>Table1[[#This Row],[Actual tip]]-Table1[[#This Row],[Predicted Tip]]</f>
        <v>0.71177828768115026</v>
      </c>
      <c r="F44" s="41">
        <f>Table1[[#This Row],[Error]]^2</f>
        <v>0.50662833081431025</v>
      </c>
    </row>
    <row r="45" spans="1:6" ht="15.5" x14ac:dyDescent="0.35">
      <c r="A45" s="27">
        <v>2</v>
      </c>
      <c r="B45" s="26">
        <v>9.68</v>
      </c>
      <c r="C45" s="26">
        <v>1.32</v>
      </c>
      <c r="D45" s="39">
        <f>$J$3+($J$4*Table1[[#This Row],[size]])+($J$5*Table1[[#This Row],[total_bill]])</f>
        <v>1.9535864089574935</v>
      </c>
      <c r="E45" s="39">
        <f>Table1[[#This Row],[Actual tip]]-Table1[[#This Row],[Predicted Tip]]</f>
        <v>-0.63358640895749341</v>
      </c>
      <c r="F45" s="41">
        <f>Table1[[#This Row],[Error]]^2</f>
        <v>0.4014317376156521</v>
      </c>
    </row>
    <row r="46" spans="1:6" ht="15.5" x14ac:dyDescent="0.35">
      <c r="A46" s="27">
        <v>4</v>
      </c>
      <c r="B46" s="26">
        <v>30.4</v>
      </c>
      <c r="C46" s="26">
        <v>5.6</v>
      </c>
      <c r="D46" s="39">
        <f>$J$3+($J$4*Table1[[#This Row],[size]])+($J$5*Table1[[#This Row],[total_bill]])</f>
        <v>4.2577258686846786</v>
      </c>
      <c r="E46" s="39">
        <f>Table1[[#This Row],[Actual tip]]-Table1[[#This Row],[Predicted Tip]]</f>
        <v>1.342274131315321</v>
      </c>
      <c r="F46" s="41">
        <f>Table1[[#This Row],[Error]]^2</f>
        <v>1.8016998435982996</v>
      </c>
    </row>
    <row r="47" spans="1:6" ht="15.5" x14ac:dyDescent="0.35">
      <c r="A47" s="27">
        <v>2</v>
      </c>
      <c r="B47" s="26">
        <v>18.29</v>
      </c>
      <c r="C47" s="26">
        <v>3</v>
      </c>
      <c r="D47" s="39">
        <f>$J$3+($J$4*Table1[[#This Row],[size]])+($J$5*Table1[[#This Row],[total_bill]])</f>
        <v>2.7511943812441793</v>
      </c>
      <c r="E47" s="39">
        <f>Table1[[#This Row],[Actual tip]]-Table1[[#This Row],[Predicted Tip]]</f>
        <v>0.24880561875582075</v>
      </c>
      <c r="F47" s="41">
        <f>Table1[[#This Row],[Error]]^2</f>
        <v>6.1904235924466817E-2</v>
      </c>
    </row>
    <row r="48" spans="1:6" ht="15.5" x14ac:dyDescent="0.35">
      <c r="A48" s="27">
        <v>2</v>
      </c>
      <c r="B48" s="26">
        <v>22.23</v>
      </c>
      <c r="C48" s="26">
        <v>5</v>
      </c>
      <c r="D48" s="39">
        <f>$J$3+($J$4*Table1[[#This Row],[size]])+($J$5*Table1[[#This Row],[total_bill]])</f>
        <v>3.1161857181558563</v>
      </c>
      <c r="E48" s="39">
        <f>Table1[[#This Row],[Actual tip]]-Table1[[#This Row],[Predicted Tip]]</f>
        <v>1.8838142818441437</v>
      </c>
      <c r="F48" s="41">
        <f>Table1[[#This Row],[Error]]^2</f>
        <v>3.5487562484799668</v>
      </c>
    </row>
    <row r="49" spans="1:6" ht="15.5" x14ac:dyDescent="0.35">
      <c r="A49" s="27">
        <v>4</v>
      </c>
      <c r="B49" s="26">
        <v>32.4</v>
      </c>
      <c r="C49" s="26">
        <v>6</v>
      </c>
      <c r="D49" s="39">
        <f>$J$3+($J$4*Table1[[#This Row],[size]])+($J$5*Table1[[#This Row],[total_bill]])</f>
        <v>4.4430006589951745</v>
      </c>
      <c r="E49" s="39">
        <f>Table1[[#This Row],[Actual tip]]-Table1[[#This Row],[Predicted Tip]]</f>
        <v>1.5569993410048255</v>
      </c>
      <c r="F49" s="41">
        <f>Table1[[#This Row],[Error]]^2</f>
        <v>2.4242469478894608</v>
      </c>
    </row>
    <row r="50" spans="1:6" ht="15.5" x14ac:dyDescent="0.35">
      <c r="A50" s="27">
        <v>3</v>
      </c>
      <c r="B50" s="26">
        <v>28.55</v>
      </c>
      <c r="C50" s="26">
        <v>2.0499999999999998</v>
      </c>
      <c r="D50" s="39">
        <f>$J$3+($J$4*Table1[[#This Row],[size]])+($J$5*Table1[[#This Row],[total_bill]])</f>
        <v>3.8940003715922469</v>
      </c>
      <c r="E50" s="39">
        <f>Table1[[#This Row],[Actual tip]]-Table1[[#This Row],[Predicted Tip]]</f>
        <v>-1.8440003715922471</v>
      </c>
      <c r="F50" s="41">
        <f>Table1[[#This Row],[Error]]^2</f>
        <v>3.4003373704323452</v>
      </c>
    </row>
    <row r="51" spans="1:6" ht="15.5" x14ac:dyDescent="0.35">
      <c r="A51" s="27">
        <v>2</v>
      </c>
      <c r="B51" s="26">
        <v>18.04</v>
      </c>
      <c r="C51" s="26">
        <v>3</v>
      </c>
      <c r="D51" s="39">
        <f>$J$3+($J$4*Table1[[#This Row],[size]])+($J$5*Table1[[#This Row],[total_bill]])</f>
        <v>2.7280350324553666</v>
      </c>
      <c r="E51" s="39">
        <f>Table1[[#This Row],[Actual tip]]-Table1[[#This Row],[Predicted Tip]]</f>
        <v>0.2719649675446334</v>
      </c>
      <c r="F51" s="41">
        <f>Table1[[#This Row],[Error]]^2</f>
        <v>7.396494357155349E-2</v>
      </c>
    </row>
    <row r="52" spans="1:6" ht="15.5" x14ac:dyDescent="0.35">
      <c r="A52" s="27">
        <v>2</v>
      </c>
      <c r="B52" s="26">
        <v>12.54</v>
      </c>
      <c r="C52" s="26">
        <v>2.5</v>
      </c>
      <c r="D52" s="39">
        <f>$J$3+($J$4*Table1[[#This Row],[size]])+($J$5*Table1[[#This Row],[total_bill]])</f>
        <v>2.2185293591015025</v>
      </c>
      <c r="E52" s="39">
        <f>Table1[[#This Row],[Actual tip]]-Table1[[#This Row],[Predicted Tip]]</f>
        <v>0.28147064089849749</v>
      </c>
      <c r="F52" s="41">
        <f>Table1[[#This Row],[Error]]^2</f>
        <v>7.9225721687810932E-2</v>
      </c>
    </row>
    <row r="53" spans="1:6" ht="15.5" x14ac:dyDescent="0.35">
      <c r="A53" s="27">
        <v>2</v>
      </c>
      <c r="B53" s="26">
        <v>10.29</v>
      </c>
      <c r="C53" s="26">
        <v>2.6</v>
      </c>
      <c r="D53" s="39">
        <f>$J$3+($J$4*Table1[[#This Row],[size]])+($J$5*Table1[[#This Row],[total_bill]])</f>
        <v>2.0100952200021949</v>
      </c>
      <c r="E53" s="39">
        <f>Table1[[#This Row],[Actual tip]]-Table1[[#This Row],[Predicted Tip]]</f>
        <v>0.58990477999780522</v>
      </c>
      <c r="F53" s="41">
        <f>Table1[[#This Row],[Error]]^2</f>
        <v>0.34798764946425897</v>
      </c>
    </row>
    <row r="54" spans="1:6" ht="15.5" x14ac:dyDescent="0.35">
      <c r="A54" s="27">
        <v>4</v>
      </c>
      <c r="B54" s="26">
        <v>34.81</v>
      </c>
      <c r="C54" s="26">
        <v>5.2</v>
      </c>
      <c r="D54" s="39">
        <f>$J$3+($J$4*Table1[[#This Row],[size]])+($J$5*Table1[[#This Row],[total_bill]])</f>
        <v>4.6662567813193228</v>
      </c>
      <c r="E54" s="39">
        <f>Table1[[#This Row],[Actual tip]]-Table1[[#This Row],[Predicted Tip]]</f>
        <v>0.53374321868067742</v>
      </c>
      <c r="F54" s="41">
        <f>Table1[[#This Row],[Error]]^2</f>
        <v>0.28488182348760943</v>
      </c>
    </row>
    <row r="55" spans="1:6" ht="15.5" x14ac:dyDescent="0.35">
      <c r="A55" s="27">
        <v>2</v>
      </c>
      <c r="B55" s="26">
        <v>9.94</v>
      </c>
      <c r="C55" s="26">
        <v>1.56</v>
      </c>
      <c r="D55" s="39">
        <f>$J$3+($J$4*Table1[[#This Row],[size]])+($J$5*Table1[[#This Row],[total_bill]])</f>
        <v>1.977672131697858</v>
      </c>
      <c r="E55" s="39">
        <f>Table1[[#This Row],[Actual tip]]-Table1[[#This Row],[Predicted Tip]]</f>
        <v>-0.417672131697858</v>
      </c>
      <c r="F55" s="41">
        <f>Table1[[#This Row],[Error]]^2</f>
        <v>0.17445000959703283</v>
      </c>
    </row>
    <row r="56" spans="1:6" ht="15.5" x14ac:dyDescent="0.35">
      <c r="A56" s="27">
        <v>4</v>
      </c>
      <c r="B56" s="26">
        <v>25.56</v>
      </c>
      <c r="C56" s="26">
        <v>4.34</v>
      </c>
      <c r="D56" s="39">
        <f>$J$3+($J$4*Table1[[#This Row],[size]])+($J$5*Table1[[#This Row],[total_bill]])</f>
        <v>3.8093608761332787</v>
      </c>
      <c r="E56" s="39">
        <f>Table1[[#This Row],[Actual tip]]-Table1[[#This Row],[Predicted Tip]]</f>
        <v>0.53063912386672119</v>
      </c>
      <c r="F56" s="41">
        <f>Table1[[#This Row],[Error]]^2</f>
        <v>0.2815778797780415</v>
      </c>
    </row>
    <row r="57" spans="1:6" ht="15.5" x14ac:dyDescent="0.35">
      <c r="A57" s="27">
        <v>2</v>
      </c>
      <c r="B57" s="26">
        <v>19.489999999999998</v>
      </c>
      <c r="C57" s="26">
        <v>3.51</v>
      </c>
      <c r="D57" s="39">
        <f>$J$3+($J$4*Table1[[#This Row],[size]])+($J$5*Table1[[#This Row],[total_bill]])</f>
        <v>2.8623592554304764</v>
      </c>
      <c r="E57" s="39">
        <f>Table1[[#This Row],[Actual tip]]-Table1[[#This Row],[Predicted Tip]]</f>
        <v>0.64764074456952336</v>
      </c>
      <c r="F57" s="41">
        <f>Table1[[#This Row],[Error]]^2</f>
        <v>0.41943853402656661</v>
      </c>
    </row>
    <row r="58" spans="1:6" ht="15.5" x14ac:dyDescent="0.35">
      <c r="A58" s="27">
        <v>4</v>
      </c>
      <c r="B58" s="26">
        <v>38.01</v>
      </c>
      <c r="C58" s="26">
        <v>3</v>
      </c>
      <c r="D58" s="39">
        <f>$J$3+($J$4*Table1[[#This Row],[size]])+($J$5*Table1[[#This Row],[total_bill]])</f>
        <v>4.9626964458161167</v>
      </c>
      <c r="E58" s="39">
        <f>Table1[[#This Row],[Actual tip]]-Table1[[#This Row],[Predicted Tip]]</f>
        <v>-1.9626964458161167</v>
      </c>
      <c r="F58" s="41">
        <f>Table1[[#This Row],[Error]]^2</f>
        <v>3.8521773384192168</v>
      </c>
    </row>
    <row r="59" spans="1:6" ht="15.5" x14ac:dyDescent="0.35">
      <c r="A59" s="27">
        <v>2</v>
      </c>
      <c r="B59" s="26">
        <v>26.41</v>
      </c>
      <c r="C59" s="26">
        <v>1.5</v>
      </c>
      <c r="D59" s="39">
        <f>$J$3+($J$4*Table1[[#This Row],[size]])+($J$5*Table1[[#This Row],[total_bill]])</f>
        <v>3.503410029904793</v>
      </c>
      <c r="E59" s="39">
        <f>Table1[[#This Row],[Actual tip]]-Table1[[#This Row],[Predicted Tip]]</f>
        <v>-2.003410029904793</v>
      </c>
      <c r="F59" s="41">
        <f>Table1[[#This Row],[Error]]^2</f>
        <v>4.0136517479231237</v>
      </c>
    </row>
    <row r="60" spans="1:6" ht="15.5" x14ac:dyDescent="0.35">
      <c r="A60" s="27">
        <v>2</v>
      </c>
      <c r="B60" s="26">
        <v>11.24</v>
      </c>
      <c r="C60" s="26">
        <v>1.76</v>
      </c>
      <c r="D60" s="39">
        <f>$J$3+($J$4*Table1[[#This Row],[size]])+($J$5*Table1[[#This Row],[total_bill]])</f>
        <v>2.0981007453996803</v>
      </c>
      <c r="E60" s="39">
        <f>Table1[[#This Row],[Actual tip]]-Table1[[#This Row],[Predicted Tip]]</f>
        <v>-0.33810074539968027</v>
      </c>
      <c r="F60" s="41">
        <f>Table1[[#This Row],[Error]]^2</f>
        <v>0.11431211403981942</v>
      </c>
    </row>
    <row r="61" spans="1:6" ht="15.5" x14ac:dyDescent="0.35">
      <c r="A61" s="27">
        <v>4</v>
      </c>
      <c r="B61" s="26">
        <v>48.27</v>
      </c>
      <c r="C61" s="26">
        <v>6.73</v>
      </c>
      <c r="D61" s="39">
        <f>$J$3+($J$4*Table1[[#This Row],[size]])+($J$5*Table1[[#This Row],[total_bill]])</f>
        <v>5.9131561201089617</v>
      </c>
      <c r="E61" s="39">
        <f>Table1[[#This Row],[Actual tip]]-Table1[[#This Row],[Predicted Tip]]</f>
        <v>0.81684387989103868</v>
      </c>
      <c r="F61" s="41">
        <f>Table1[[#This Row],[Error]]^2</f>
        <v>0.66723392411544558</v>
      </c>
    </row>
    <row r="62" spans="1:6" ht="15.5" x14ac:dyDescent="0.35">
      <c r="A62" s="27">
        <v>2</v>
      </c>
      <c r="B62" s="26">
        <v>20.29</v>
      </c>
      <c r="C62" s="26">
        <v>3.21</v>
      </c>
      <c r="D62" s="39">
        <f>$J$3+($J$4*Table1[[#This Row],[size]])+($J$5*Table1[[#This Row],[total_bill]])</f>
        <v>2.9364691715546751</v>
      </c>
      <c r="E62" s="39">
        <f>Table1[[#This Row],[Actual tip]]-Table1[[#This Row],[Predicted Tip]]</f>
        <v>0.27353082844532484</v>
      </c>
      <c r="F62" s="41">
        <f>Table1[[#This Row],[Error]]^2</f>
        <v>7.4819114109985721E-2</v>
      </c>
    </row>
    <row r="63" spans="1:6" ht="15.5" x14ac:dyDescent="0.35">
      <c r="A63" s="27">
        <v>2</v>
      </c>
      <c r="B63" s="26">
        <v>13.81</v>
      </c>
      <c r="C63" s="26">
        <v>2</v>
      </c>
      <c r="D63" s="39">
        <f>$J$3+($J$4*Table1[[#This Row],[size]])+($J$5*Table1[[#This Row],[total_bill]])</f>
        <v>2.3361788509486678</v>
      </c>
      <c r="E63" s="39">
        <f>Table1[[#This Row],[Actual tip]]-Table1[[#This Row],[Predicted Tip]]</f>
        <v>-0.33617885094866784</v>
      </c>
      <c r="F63" s="41">
        <f>Table1[[#This Row],[Error]]^2</f>
        <v>0.11301621982516663</v>
      </c>
    </row>
    <row r="64" spans="1:6" ht="15.5" x14ac:dyDescent="0.35">
      <c r="A64" s="27">
        <v>2</v>
      </c>
      <c r="B64" s="26">
        <v>11.02</v>
      </c>
      <c r="C64" s="26">
        <v>1.98</v>
      </c>
      <c r="D64" s="39">
        <f>$J$3+($J$4*Table1[[#This Row],[size]])+($J$5*Table1[[#This Row],[total_bill]])</f>
        <v>2.0777205184655259</v>
      </c>
      <c r="E64" s="39">
        <f>Table1[[#This Row],[Actual tip]]-Table1[[#This Row],[Predicted Tip]]</f>
        <v>-9.7720518465525874E-2</v>
      </c>
      <c r="F64" s="41">
        <f>Table1[[#This Row],[Error]]^2</f>
        <v>9.5492997291711842E-3</v>
      </c>
    </row>
    <row r="65" spans="1:6" ht="15.5" x14ac:dyDescent="0.35">
      <c r="A65" s="27">
        <v>4</v>
      </c>
      <c r="B65" s="26">
        <v>18.29</v>
      </c>
      <c r="C65" s="26">
        <v>3.76</v>
      </c>
      <c r="D65" s="39">
        <f>$J$3+($J$4*Table1[[#This Row],[size]])+($J$5*Table1[[#This Row],[total_bill]])</f>
        <v>3.1358870133546253</v>
      </c>
      <c r="E65" s="39">
        <f>Table1[[#This Row],[Actual tip]]-Table1[[#This Row],[Predicted Tip]]</f>
        <v>0.62411298664537451</v>
      </c>
      <c r="F65" s="41">
        <f>Table1[[#This Row],[Error]]^2</f>
        <v>0.38951702009940942</v>
      </c>
    </row>
    <row r="66" spans="1:6" ht="15.5" x14ac:dyDescent="0.35">
      <c r="A66" s="27">
        <v>3</v>
      </c>
      <c r="B66" s="26">
        <v>17.59</v>
      </c>
      <c r="C66" s="26">
        <v>2.64</v>
      </c>
      <c r="D66" s="39">
        <f>$J$3+($J$4*Table1[[#This Row],[size]])+($J$5*Table1[[#This Row],[total_bill]])</f>
        <v>2.8786945206907286</v>
      </c>
      <c r="E66" s="39">
        <f>Table1[[#This Row],[Actual tip]]-Table1[[#This Row],[Predicted Tip]]</f>
        <v>-0.2386945206907285</v>
      </c>
      <c r="F66" s="41">
        <f>Table1[[#This Row],[Error]]^2</f>
        <v>5.6975074207776616E-2</v>
      </c>
    </row>
    <row r="67" spans="1:6" ht="15.5" x14ac:dyDescent="0.35">
      <c r="A67" s="27">
        <v>3</v>
      </c>
      <c r="B67" s="26">
        <v>20.079999999999998</v>
      </c>
      <c r="C67" s="26">
        <v>3.15</v>
      </c>
      <c r="D67" s="39">
        <f>$J$3+($J$4*Table1[[#This Row],[size]])+($J$5*Table1[[#This Row],[total_bill]])</f>
        <v>3.1093616346272963</v>
      </c>
      <c r="E67" s="39">
        <f>Table1[[#This Row],[Actual tip]]-Table1[[#This Row],[Predicted Tip]]</f>
        <v>4.06383653727036E-2</v>
      </c>
      <c r="F67" s="41">
        <f>Table1[[#This Row],[Error]]^2</f>
        <v>1.651476740165355E-3</v>
      </c>
    </row>
    <row r="68" spans="1:6" ht="15.5" x14ac:dyDescent="0.35">
      <c r="A68" s="27">
        <v>2</v>
      </c>
      <c r="B68" s="26">
        <v>16.45</v>
      </c>
      <c r="C68" s="26">
        <v>2.4700000000000002</v>
      </c>
      <c r="D68" s="39">
        <f>$J$3+($J$4*Table1[[#This Row],[size]])+($J$5*Table1[[#This Row],[total_bill]])</f>
        <v>2.5807415741585227</v>
      </c>
      <c r="E68" s="39">
        <f>Table1[[#This Row],[Actual tip]]-Table1[[#This Row],[Predicted Tip]]</f>
        <v>-0.11074157415852248</v>
      </c>
      <c r="F68" s="41">
        <f>Table1[[#This Row],[Error]]^2</f>
        <v>1.2263696247107535E-2</v>
      </c>
    </row>
    <row r="69" spans="1:6" ht="15.5" x14ac:dyDescent="0.35">
      <c r="A69" s="27">
        <v>1</v>
      </c>
      <c r="B69" s="26">
        <v>3.07</v>
      </c>
      <c r="C69" s="26">
        <v>1</v>
      </c>
      <c r="D69" s="39">
        <f>$J$3+($J$4*Table1[[#This Row],[size]])+($J$5*Table1[[#This Row],[total_bill]])</f>
        <v>1.1489069109260805</v>
      </c>
      <c r="E69" s="39">
        <f>Table1[[#This Row],[Actual tip]]-Table1[[#This Row],[Predicted Tip]]</f>
        <v>-0.14890691092608055</v>
      </c>
      <c r="F69" s="41">
        <f>Table1[[#This Row],[Error]]^2</f>
        <v>2.2173268121547688E-2</v>
      </c>
    </row>
    <row r="70" spans="1:6" ht="15.5" x14ac:dyDescent="0.35">
      <c r="A70" s="27">
        <v>2</v>
      </c>
      <c r="B70" s="26">
        <v>20.23</v>
      </c>
      <c r="C70" s="26">
        <v>2.0099999999999998</v>
      </c>
      <c r="D70" s="39">
        <f>$J$3+($J$4*Table1[[#This Row],[size]])+($J$5*Table1[[#This Row],[total_bill]])</f>
        <v>2.9309109278453604</v>
      </c>
      <c r="E70" s="39">
        <f>Table1[[#This Row],[Actual tip]]-Table1[[#This Row],[Predicted Tip]]</f>
        <v>-0.92091092784536066</v>
      </c>
      <c r="F70" s="41">
        <f>Table1[[#This Row],[Error]]^2</f>
        <v>0.84807693702500309</v>
      </c>
    </row>
    <row r="71" spans="1:6" ht="15.5" x14ac:dyDescent="0.35">
      <c r="A71" s="27">
        <v>2</v>
      </c>
      <c r="B71" s="26">
        <v>15.01</v>
      </c>
      <c r="C71" s="26">
        <v>2.09</v>
      </c>
      <c r="D71" s="39">
        <f>$J$3+($J$4*Table1[[#This Row],[size]])+($J$5*Table1[[#This Row],[total_bill]])</f>
        <v>2.4473437251349655</v>
      </c>
      <c r="E71" s="39">
        <f>Table1[[#This Row],[Actual tip]]-Table1[[#This Row],[Predicted Tip]]</f>
        <v>-0.3573437251349656</v>
      </c>
      <c r="F71" s="41">
        <f>Table1[[#This Row],[Error]]^2</f>
        <v>0.12769453789333385</v>
      </c>
    </row>
    <row r="72" spans="1:6" ht="15.5" x14ac:dyDescent="0.35">
      <c r="A72" s="27">
        <v>2</v>
      </c>
      <c r="B72" s="26">
        <v>12.02</v>
      </c>
      <c r="C72" s="26">
        <v>1.97</v>
      </c>
      <c r="D72" s="39">
        <f>$J$3+($J$4*Table1[[#This Row],[size]])+($J$5*Table1[[#This Row],[total_bill]])</f>
        <v>2.1703579136207738</v>
      </c>
      <c r="E72" s="39">
        <f>Table1[[#This Row],[Actual tip]]-Table1[[#This Row],[Predicted Tip]]</f>
        <v>-0.20035791362077382</v>
      </c>
      <c r="F72" s="41">
        <f>Table1[[#This Row],[Error]]^2</f>
        <v>4.0143293550469465E-2</v>
      </c>
    </row>
    <row r="73" spans="1:6" ht="15.5" x14ac:dyDescent="0.35">
      <c r="A73" s="27">
        <v>3</v>
      </c>
      <c r="B73" s="26">
        <v>17.07</v>
      </c>
      <c r="C73" s="26">
        <v>3</v>
      </c>
      <c r="D73" s="39">
        <f>$J$3+($J$4*Table1[[#This Row],[size]])+($J$5*Table1[[#This Row],[total_bill]])</f>
        <v>2.8305230752099995</v>
      </c>
      <c r="E73" s="39">
        <f>Table1[[#This Row],[Actual tip]]-Table1[[#This Row],[Predicted Tip]]</f>
        <v>0.16947692479000054</v>
      </c>
      <c r="F73" s="41">
        <f>Table1[[#This Row],[Error]]^2</f>
        <v>2.8722428036275498E-2</v>
      </c>
    </row>
    <row r="74" spans="1:6" ht="15.5" x14ac:dyDescent="0.35">
      <c r="A74" s="27">
        <v>2</v>
      </c>
      <c r="B74" s="26">
        <v>26.86</v>
      </c>
      <c r="C74" s="26">
        <v>3.14</v>
      </c>
      <c r="D74" s="39">
        <f>$J$3+($J$4*Table1[[#This Row],[size]])+($J$5*Table1[[#This Row],[total_bill]])</f>
        <v>3.5450968577246544</v>
      </c>
      <c r="E74" s="39">
        <f>Table1[[#This Row],[Actual tip]]-Table1[[#This Row],[Predicted Tip]]</f>
        <v>-0.40509685772465431</v>
      </c>
      <c r="F74" s="41">
        <f>Table1[[#This Row],[Error]]^2</f>
        <v>0.16410346413838883</v>
      </c>
    </row>
    <row r="75" spans="1:6" ht="15.5" x14ac:dyDescent="0.35">
      <c r="A75" s="27">
        <v>2</v>
      </c>
      <c r="B75" s="26">
        <v>25.28</v>
      </c>
      <c r="C75" s="26">
        <v>5</v>
      </c>
      <c r="D75" s="39">
        <f>$J$3+($J$4*Table1[[#This Row],[size]])+($J$5*Table1[[#This Row],[total_bill]])</f>
        <v>3.3987297733793627</v>
      </c>
      <c r="E75" s="39">
        <f>Table1[[#This Row],[Actual tip]]-Table1[[#This Row],[Predicted Tip]]</f>
        <v>1.6012702266206373</v>
      </c>
      <c r="F75" s="41">
        <f>Table1[[#This Row],[Error]]^2</f>
        <v>2.5640663386617071</v>
      </c>
    </row>
    <row r="76" spans="1:6" ht="15.5" x14ac:dyDescent="0.35">
      <c r="A76" s="27">
        <v>2</v>
      </c>
      <c r="B76" s="26">
        <v>14.73</v>
      </c>
      <c r="C76" s="26">
        <v>2.2000000000000002</v>
      </c>
      <c r="D76" s="39">
        <f>$J$3+($J$4*Table1[[#This Row],[size]])+($J$5*Table1[[#This Row],[total_bill]])</f>
        <v>2.4214052544914964</v>
      </c>
      <c r="E76" s="39">
        <f>Table1[[#This Row],[Actual tip]]-Table1[[#This Row],[Predicted Tip]]</f>
        <v>-0.22140525449149617</v>
      </c>
      <c r="F76" s="41">
        <f>Table1[[#This Row],[Error]]^2</f>
        <v>4.9020286716444185E-2</v>
      </c>
    </row>
    <row r="77" spans="1:6" ht="15.5" x14ac:dyDescent="0.35">
      <c r="A77" s="27">
        <v>2</v>
      </c>
      <c r="B77" s="26">
        <v>10.51</v>
      </c>
      <c r="C77" s="26">
        <v>1.25</v>
      </c>
      <c r="D77" s="39">
        <f>$J$3+($J$4*Table1[[#This Row],[size]])+($J$5*Table1[[#This Row],[total_bill]])</f>
        <v>2.0304754469363493</v>
      </c>
      <c r="E77" s="39">
        <f>Table1[[#This Row],[Actual tip]]-Table1[[#This Row],[Predicted Tip]]</f>
        <v>-0.78047544693634929</v>
      </c>
      <c r="F77" s="41">
        <f>Table1[[#This Row],[Error]]^2</f>
        <v>0.60914192327049421</v>
      </c>
    </row>
    <row r="78" spans="1:6" ht="15.5" x14ac:dyDescent="0.35">
      <c r="A78" s="27">
        <v>2</v>
      </c>
      <c r="B78" s="26">
        <v>17.920000000000002</v>
      </c>
      <c r="C78" s="26">
        <v>3.08</v>
      </c>
      <c r="D78" s="39">
        <f>$J$3+($J$4*Table1[[#This Row],[size]])+($J$5*Table1[[#This Row],[total_bill]])</f>
        <v>2.7169185450367372</v>
      </c>
      <c r="E78" s="39">
        <f>Table1[[#This Row],[Actual tip]]-Table1[[#This Row],[Predicted Tip]]</f>
        <v>0.36308145496326283</v>
      </c>
      <c r="F78" s="41">
        <f>Table1[[#This Row],[Error]]^2</f>
        <v>0.13182814293823986</v>
      </c>
    </row>
    <row r="79" spans="1:6" ht="15.5" x14ac:dyDescent="0.35">
      <c r="A79" s="27">
        <v>4</v>
      </c>
      <c r="B79" s="26">
        <v>27.2</v>
      </c>
      <c r="C79" s="26">
        <v>4</v>
      </c>
      <c r="D79" s="39">
        <f>$J$3+($J$4*Table1[[#This Row],[size]])+($J$5*Table1[[#This Row],[total_bill]])</f>
        <v>3.9612862041878856</v>
      </c>
      <c r="E79" s="39">
        <f>Table1[[#This Row],[Actual tip]]-Table1[[#This Row],[Predicted Tip]]</f>
        <v>3.8713795812114427E-2</v>
      </c>
      <c r="F79" s="41">
        <f>Table1[[#This Row],[Error]]^2</f>
        <v>1.4987579861820885E-3</v>
      </c>
    </row>
    <row r="80" spans="1:6" ht="15.5" x14ac:dyDescent="0.35">
      <c r="A80" s="27">
        <v>2</v>
      </c>
      <c r="B80" s="26">
        <v>22.76</v>
      </c>
      <c r="C80" s="26">
        <v>3</v>
      </c>
      <c r="D80" s="39">
        <f>$J$3+($J$4*Table1[[#This Row],[size]])+($J$5*Table1[[#This Row],[total_bill]])</f>
        <v>3.1652835375881381</v>
      </c>
      <c r="E80" s="39">
        <f>Table1[[#This Row],[Actual tip]]-Table1[[#This Row],[Predicted Tip]]</f>
        <v>-0.16528353758813807</v>
      </c>
      <c r="F80" s="41">
        <f>Table1[[#This Row],[Error]]^2</f>
        <v>2.7318647797649451E-2</v>
      </c>
    </row>
    <row r="81" spans="1:6" ht="15.5" x14ac:dyDescent="0.35">
      <c r="A81" s="27">
        <v>2</v>
      </c>
      <c r="B81" s="26">
        <v>17.29</v>
      </c>
      <c r="C81" s="26">
        <v>2.71</v>
      </c>
      <c r="D81" s="39">
        <f>$J$3+($J$4*Table1[[#This Row],[size]])+($J$5*Table1[[#This Row],[total_bill]])</f>
        <v>2.6585569860889309</v>
      </c>
      <c r="E81" s="39">
        <f>Table1[[#This Row],[Actual tip]]-Table1[[#This Row],[Predicted Tip]]</f>
        <v>5.1443013911069091E-2</v>
      </c>
      <c r="F81" s="41">
        <f>Table1[[#This Row],[Error]]^2</f>
        <v>2.6463836802544478E-3</v>
      </c>
    </row>
    <row r="82" spans="1:6" ht="15.5" x14ac:dyDescent="0.35">
      <c r="A82" s="27">
        <v>2</v>
      </c>
      <c r="B82" s="26">
        <v>19.440000000000001</v>
      </c>
      <c r="C82" s="26">
        <v>3</v>
      </c>
      <c r="D82" s="39">
        <f>$J$3+($J$4*Table1[[#This Row],[size]])+($J$5*Table1[[#This Row],[total_bill]])</f>
        <v>2.8577273856727143</v>
      </c>
      <c r="E82" s="39">
        <f>Table1[[#This Row],[Actual tip]]-Table1[[#This Row],[Predicted Tip]]</f>
        <v>0.14227261432728566</v>
      </c>
      <c r="F82" s="41">
        <f>Table1[[#This Row],[Error]]^2</f>
        <v>2.0241496787520571E-2</v>
      </c>
    </row>
    <row r="83" spans="1:6" ht="15.5" x14ac:dyDescent="0.35">
      <c r="A83" s="27">
        <v>2</v>
      </c>
      <c r="B83" s="26">
        <v>16.66</v>
      </c>
      <c r="C83" s="26">
        <v>3.4</v>
      </c>
      <c r="D83" s="39">
        <f>$J$3+($J$4*Table1[[#This Row],[size]])+($J$5*Table1[[#This Row],[total_bill]])</f>
        <v>2.6001954271411245</v>
      </c>
      <c r="E83" s="39">
        <f>Table1[[#This Row],[Actual tip]]-Table1[[#This Row],[Predicted Tip]]</f>
        <v>0.79980457285887541</v>
      </c>
      <c r="F83" s="41">
        <f>Table1[[#This Row],[Error]]^2</f>
        <v>0.63968735476596816</v>
      </c>
    </row>
    <row r="84" spans="1:6" ht="15.5" x14ac:dyDescent="0.35">
      <c r="A84" s="27">
        <v>1</v>
      </c>
      <c r="B84" s="26">
        <v>10.07</v>
      </c>
      <c r="C84" s="26">
        <v>1.83</v>
      </c>
      <c r="D84" s="39">
        <f>$J$3+($J$4*Table1[[#This Row],[size]])+($J$5*Table1[[#This Row],[total_bill]])</f>
        <v>1.797368677012817</v>
      </c>
      <c r="E84" s="39">
        <f>Table1[[#This Row],[Actual tip]]-Table1[[#This Row],[Predicted Tip]]</f>
        <v>3.2631322987183076E-2</v>
      </c>
      <c r="F84" s="41">
        <f>Table1[[#This Row],[Error]]^2</f>
        <v>1.0648032398938626E-3</v>
      </c>
    </row>
    <row r="85" spans="1:6" ht="15.5" x14ac:dyDescent="0.35">
      <c r="A85" s="27">
        <v>2</v>
      </c>
      <c r="B85" s="26">
        <v>32.68</v>
      </c>
      <c r="C85" s="26">
        <v>5</v>
      </c>
      <c r="D85" s="39">
        <f>$J$3+($J$4*Table1[[#This Row],[size]])+($J$5*Table1[[#This Row],[total_bill]])</f>
        <v>4.0842464975281985</v>
      </c>
      <c r="E85" s="39">
        <f>Table1[[#This Row],[Actual tip]]-Table1[[#This Row],[Predicted Tip]]</f>
        <v>0.91575350247180154</v>
      </c>
      <c r="F85" s="41">
        <f>Table1[[#This Row],[Error]]^2</f>
        <v>0.83860447728937182</v>
      </c>
    </row>
    <row r="86" spans="1:6" ht="15.5" x14ac:dyDescent="0.35">
      <c r="A86" s="27">
        <v>2</v>
      </c>
      <c r="B86" s="26">
        <v>15.98</v>
      </c>
      <c r="C86" s="26">
        <v>2.0299999999999998</v>
      </c>
      <c r="D86" s="39">
        <f>$J$3+($J$4*Table1[[#This Row],[size]])+($J$5*Table1[[#This Row],[total_bill]])</f>
        <v>2.537201998435556</v>
      </c>
      <c r="E86" s="39">
        <f>Table1[[#This Row],[Actual tip]]-Table1[[#This Row],[Predicted Tip]]</f>
        <v>-0.50720199843555624</v>
      </c>
      <c r="F86" s="41">
        <f>Table1[[#This Row],[Error]]^2</f>
        <v>0.25725386721702198</v>
      </c>
    </row>
    <row r="87" spans="1:6" ht="15.5" x14ac:dyDescent="0.35">
      <c r="A87" s="27">
        <v>4</v>
      </c>
      <c r="B87" s="26">
        <v>34.83</v>
      </c>
      <c r="C87" s="26">
        <v>5.17</v>
      </c>
      <c r="D87" s="39">
        <f>$J$3+($J$4*Table1[[#This Row],[size]])+($J$5*Table1[[#This Row],[total_bill]])</f>
        <v>4.6681095292224279</v>
      </c>
      <c r="E87" s="39">
        <f>Table1[[#This Row],[Actual tip]]-Table1[[#This Row],[Predicted Tip]]</f>
        <v>0.50189047077757198</v>
      </c>
      <c r="F87" s="41">
        <f>Table1[[#This Row],[Error]]^2</f>
        <v>0.25189404465733284</v>
      </c>
    </row>
    <row r="88" spans="1:6" ht="15.5" x14ac:dyDescent="0.35">
      <c r="A88" s="27">
        <v>2</v>
      </c>
      <c r="B88" s="26">
        <v>13.03</v>
      </c>
      <c r="C88" s="26">
        <v>2</v>
      </c>
      <c r="D88" s="39">
        <f>$J$3+($J$4*Table1[[#This Row],[size]])+($J$5*Table1[[#This Row],[total_bill]])</f>
        <v>2.2639216827275743</v>
      </c>
      <c r="E88" s="39">
        <f>Table1[[#This Row],[Actual tip]]-Table1[[#This Row],[Predicted Tip]]</f>
        <v>-0.26392168272757432</v>
      </c>
      <c r="F88" s="41">
        <f>Table1[[#This Row],[Error]]^2</f>
        <v>6.9654654613754405E-2</v>
      </c>
    </row>
    <row r="89" spans="1:6" ht="15.5" x14ac:dyDescent="0.35">
      <c r="A89" s="27">
        <v>2</v>
      </c>
      <c r="B89" s="26">
        <v>18.28</v>
      </c>
      <c r="C89" s="26">
        <v>4</v>
      </c>
      <c r="D89" s="39">
        <f>$J$3+($J$4*Table1[[#This Row],[size]])+($J$5*Table1[[#This Row],[total_bill]])</f>
        <v>2.7502680072926267</v>
      </c>
      <c r="E89" s="39">
        <f>Table1[[#This Row],[Actual tip]]-Table1[[#This Row],[Predicted Tip]]</f>
        <v>1.2497319927073733</v>
      </c>
      <c r="F89" s="41">
        <f>Table1[[#This Row],[Error]]^2</f>
        <v>1.5618300535963423</v>
      </c>
    </row>
    <row r="90" spans="1:6" ht="15.5" x14ac:dyDescent="0.35">
      <c r="A90" s="27">
        <v>2</v>
      </c>
      <c r="B90" s="26">
        <v>24.71</v>
      </c>
      <c r="C90" s="26">
        <v>5.85</v>
      </c>
      <c r="D90" s="39">
        <f>$J$3+($J$4*Table1[[#This Row],[size]])+($J$5*Table1[[#This Row],[total_bill]])</f>
        <v>3.3459264581408714</v>
      </c>
      <c r="E90" s="39">
        <f>Table1[[#This Row],[Actual tip]]-Table1[[#This Row],[Predicted Tip]]</f>
        <v>2.5040735418591282</v>
      </c>
      <c r="F90" s="41">
        <f>Table1[[#This Row],[Error]]^2</f>
        <v>6.2703843030389192</v>
      </c>
    </row>
    <row r="91" spans="1:6" ht="15.5" x14ac:dyDescent="0.35">
      <c r="A91" s="27">
        <v>2</v>
      </c>
      <c r="B91" s="26">
        <v>21.16</v>
      </c>
      <c r="C91" s="26">
        <v>3</v>
      </c>
      <c r="D91" s="39">
        <f>$J$3+($J$4*Table1[[#This Row],[size]])+($J$5*Table1[[#This Row],[total_bill]])</f>
        <v>3.0170637053397407</v>
      </c>
      <c r="E91" s="39">
        <f>Table1[[#This Row],[Actual tip]]-Table1[[#This Row],[Predicted Tip]]</f>
        <v>-1.7063705339740665E-2</v>
      </c>
      <c r="F91" s="41">
        <f>Table1[[#This Row],[Error]]^2</f>
        <v>2.9117003992149405E-4</v>
      </c>
    </row>
    <row r="92" spans="1:6" ht="15.5" x14ac:dyDescent="0.35">
      <c r="A92" s="27">
        <v>2</v>
      </c>
      <c r="B92" s="26">
        <v>28.97</v>
      </c>
      <c r="C92" s="26">
        <v>3</v>
      </c>
      <c r="D92" s="39">
        <f>$J$3+($J$4*Table1[[#This Row],[size]])+($J$5*Table1[[#This Row],[total_bill]])</f>
        <v>3.740561761502228</v>
      </c>
      <c r="E92" s="39">
        <f>Table1[[#This Row],[Actual tip]]-Table1[[#This Row],[Predicted Tip]]</f>
        <v>-0.74056176150222797</v>
      </c>
      <c r="F92" s="41">
        <f>Table1[[#This Row],[Error]]^2</f>
        <v>0.54843172259928274</v>
      </c>
    </row>
    <row r="93" spans="1:6" ht="15.5" x14ac:dyDescent="0.35">
      <c r="A93" s="27">
        <v>2</v>
      </c>
      <c r="B93" s="26">
        <v>22.49</v>
      </c>
      <c r="C93" s="26">
        <v>3.5</v>
      </c>
      <c r="D93" s="39">
        <f>$J$3+($J$4*Table1[[#This Row],[size]])+($J$5*Table1[[#This Row],[total_bill]])</f>
        <v>3.1402714408962207</v>
      </c>
      <c r="E93" s="39">
        <f>Table1[[#This Row],[Actual tip]]-Table1[[#This Row],[Predicted Tip]]</f>
        <v>0.35972855910377932</v>
      </c>
      <c r="F93" s="41">
        <f>Table1[[#This Row],[Error]]^2</f>
        <v>0.12940463623488124</v>
      </c>
    </row>
    <row r="94" spans="1:6" ht="15.5" x14ac:dyDescent="0.35">
      <c r="A94" s="27">
        <v>2</v>
      </c>
      <c r="B94" s="26">
        <v>5.75</v>
      </c>
      <c r="C94" s="26">
        <v>1</v>
      </c>
      <c r="D94" s="39">
        <f>$J$3+($J$4*Table1[[#This Row],[size]])+($J$5*Table1[[#This Row],[total_bill]])</f>
        <v>1.5895214459973688</v>
      </c>
      <c r="E94" s="39">
        <f>Table1[[#This Row],[Actual tip]]-Table1[[#This Row],[Predicted Tip]]</f>
        <v>-0.58952144599736878</v>
      </c>
      <c r="F94" s="41">
        <f>Table1[[#This Row],[Error]]^2</f>
        <v>0.34753553529082859</v>
      </c>
    </row>
    <row r="95" spans="1:6" ht="15.5" x14ac:dyDescent="0.35">
      <c r="A95" s="27">
        <v>2</v>
      </c>
      <c r="B95" s="26">
        <v>16.32</v>
      </c>
      <c r="C95" s="26">
        <v>4.3</v>
      </c>
      <c r="D95" s="39">
        <f>$J$3+($J$4*Table1[[#This Row],[size]])+($J$5*Table1[[#This Row],[total_bill]])</f>
        <v>2.5686987127883407</v>
      </c>
      <c r="E95" s="39">
        <f>Table1[[#This Row],[Actual tip]]-Table1[[#This Row],[Predicted Tip]]</f>
        <v>1.7313012872116591</v>
      </c>
      <c r="F95" s="41">
        <f>Table1[[#This Row],[Error]]^2</f>
        <v>2.9974041471007475</v>
      </c>
    </row>
    <row r="96" spans="1:6" ht="15.5" x14ac:dyDescent="0.35">
      <c r="A96" s="27">
        <v>2</v>
      </c>
      <c r="B96" s="26">
        <v>22.75</v>
      </c>
      <c r="C96" s="26">
        <v>3.25</v>
      </c>
      <c r="D96" s="39">
        <f>$J$3+($J$4*Table1[[#This Row],[size]])+($J$5*Table1[[#This Row],[total_bill]])</f>
        <v>3.164357163636585</v>
      </c>
      <c r="E96" s="39">
        <f>Table1[[#This Row],[Actual tip]]-Table1[[#This Row],[Predicted Tip]]</f>
        <v>8.5642836363414965E-2</v>
      </c>
      <c r="F96" s="41">
        <f>Table1[[#This Row],[Error]]^2</f>
        <v>7.3346954203706727E-3</v>
      </c>
    </row>
    <row r="97" spans="1:6" ht="15.5" x14ac:dyDescent="0.35">
      <c r="A97" s="27">
        <v>4</v>
      </c>
      <c r="B97" s="26">
        <v>40.17</v>
      </c>
      <c r="C97" s="26">
        <v>4.7300000000000004</v>
      </c>
      <c r="D97" s="39">
        <f>$J$3+($J$4*Table1[[#This Row],[size]])+($J$5*Table1[[#This Row],[total_bill]])</f>
        <v>5.1627932193514532</v>
      </c>
      <c r="E97" s="39">
        <f>Table1[[#This Row],[Actual tip]]-Table1[[#This Row],[Predicted Tip]]</f>
        <v>-0.43279321935145276</v>
      </c>
      <c r="F97" s="41">
        <f>Table1[[#This Row],[Error]]^2</f>
        <v>0.18730997071659469</v>
      </c>
    </row>
    <row r="98" spans="1:6" ht="15.5" x14ac:dyDescent="0.35">
      <c r="A98" s="27">
        <v>2</v>
      </c>
      <c r="B98" s="26">
        <v>27.28</v>
      </c>
      <c r="C98" s="26">
        <v>4</v>
      </c>
      <c r="D98" s="39">
        <f>$J$3+($J$4*Table1[[#This Row],[size]])+($J$5*Table1[[#This Row],[total_bill]])</f>
        <v>3.584004563689859</v>
      </c>
      <c r="E98" s="39">
        <f>Table1[[#This Row],[Actual tip]]-Table1[[#This Row],[Predicted Tip]]</f>
        <v>0.41599543631014102</v>
      </c>
      <c r="F98" s="41">
        <f>Table1[[#This Row],[Error]]^2</f>
        <v>0.1730522030308646</v>
      </c>
    </row>
    <row r="99" spans="1:6" ht="15.5" x14ac:dyDescent="0.35">
      <c r="A99" s="27">
        <v>2</v>
      </c>
      <c r="B99" s="26">
        <v>12.03</v>
      </c>
      <c r="C99" s="26">
        <v>1.5</v>
      </c>
      <c r="D99" s="39">
        <f>$J$3+($J$4*Table1[[#This Row],[size]])+($J$5*Table1[[#This Row],[total_bill]])</f>
        <v>2.1712842875723259</v>
      </c>
      <c r="E99" s="39">
        <f>Table1[[#This Row],[Actual tip]]-Table1[[#This Row],[Predicted Tip]]</f>
        <v>-0.67128428757232594</v>
      </c>
      <c r="F99" s="41">
        <f>Table1[[#This Row],[Error]]^2</f>
        <v>0.45062259474148519</v>
      </c>
    </row>
    <row r="100" spans="1:6" ht="15.5" x14ac:dyDescent="0.35">
      <c r="A100" s="27">
        <v>2</v>
      </c>
      <c r="B100" s="26">
        <v>21.01</v>
      </c>
      <c r="C100" s="26">
        <v>3</v>
      </c>
      <c r="D100" s="39">
        <f>$J$3+($J$4*Table1[[#This Row],[size]])+($J$5*Table1[[#This Row],[total_bill]])</f>
        <v>3.003168096066454</v>
      </c>
      <c r="E100" s="39">
        <f>Table1[[#This Row],[Actual tip]]-Table1[[#This Row],[Predicted Tip]]</f>
        <v>-3.1680960664539626E-3</v>
      </c>
      <c r="F100" s="41">
        <f>Table1[[#This Row],[Error]]^2</f>
        <v>1.003683268628107E-5</v>
      </c>
    </row>
    <row r="101" spans="1:6" ht="15.5" x14ac:dyDescent="0.35">
      <c r="A101" s="27">
        <v>2</v>
      </c>
      <c r="B101" s="26">
        <v>12.46</v>
      </c>
      <c r="C101" s="26">
        <v>1.5</v>
      </c>
      <c r="D101" s="39">
        <f>$J$3+($J$4*Table1[[#This Row],[size]])+($J$5*Table1[[#This Row],[total_bill]])</f>
        <v>2.2111183674890831</v>
      </c>
      <c r="E101" s="39">
        <f>Table1[[#This Row],[Actual tip]]-Table1[[#This Row],[Predicted Tip]]</f>
        <v>-0.71111836748908308</v>
      </c>
      <c r="F101" s="41">
        <f>Table1[[#This Row],[Error]]^2</f>
        <v>0.50568933258033866</v>
      </c>
    </row>
    <row r="102" spans="1:6" ht="15.5" x14ac:dyDescent="0.35">
      <c r="A102" s="27">
        <v>2</v>
      </c>
      <c r="B102" s="26">
        <v>11.35</v>
      </c>
      <c r="C102" s="26">
        <v>2.5</v>
      </c>
      <c r="D102" s="39">
        <f>$J$3+($J$4*Table1[[#This Row],[size]])+($J$5*Table1[[#This Row],[total_bill]])</f>
        <v>2.1082908588667575</v>
      </c>
      <c r="E102" s="39">
        <f>Table1[[#This Row],[Actual tip]]-Table1[[#This Row],[Predicted Tip]]</f>
        <v>0.39170914113324251</v>
      </c>
      <c r="F102" s="41">
        <f>Table1[[#This Row],[Error]]^2</f>
        <v>0.1534360512473425</v>
      </c>
    </row>
    <row r="103" spans="1:6" ht="15.5" x14ac:dyDescent="0.35">
      <c r="A103" s="27">
        <v>2</v>
      </c>
      <c r="B103" s="26">
        <v>15.38</v>
      </c>
      <c r="C103" s="26">
        <v>3</v>
      </c>
      <c r="D103" s="39">
        <f>$J$3+($J$4*Table1[[#This Row],[size]])+($J$5*Table1[[#This Row],[total_bill]])</f>
        <v>2.4816195613424075</v>
      </c>
      <c r="E103" s="39">
        <f>Table1[[#This Row],[Actual tip]]-Table1[[#This Row],[Predicted Tip]]</f>
        <v>0.51838043865759253</v>
      </c>
      <c r="F103" s="41">
        <f>Table1[[#This Row],[Error]]^2</f>
        <v>0.26871827918283808</v>
      </c>
    </row>
    <row r="104" spans="1:6" ht="15.5" x14ac:dyDescent="0.35">
      <c r="A104" s="27">
        <v>3</v>
      </c>
      <c r="B104" s="26">
        <v>44.3</v>
      </c>
      <c r="C104" s="26">
        <v>2.5</v>
      </c>
      <c r="D104" s="39">
        <f>$J$3+($J$4*Table1[[#This Row],[size]])+($J$5*Table1[[#This Row],[total_bill]])</f>
        <v>5.3530393452874039</v>
      </c>
      <c r="E104" s="39">
        <f>Table1[[#This Row],[Actual tip]]-Table1[[#This Row],[Predicted Tip]]</f>
        <v>-2.8530393452874039</v>
      </c>
      <c r="F104" s="41">
        <f>Table1[[#This Row],[Error]]^2</f>
        <v>8.1398335057579789</v>
      </c>
    </row>
    <row r="105" spans="1:6" ht="15.5" x14ac:dyDescent="0.35">
      <c r="A105" s="27">
        <v>2</v>
      </c>
      <c r="B105" s="26">
        <v>22.42</v>
      </c>
      <c r="C105" s="26">
        <v>3.48</v>
      </c>
      <c r="D105" s="39">
        <f>$J$3+($J$4*Table1[[#This Row],[size]])+($J$5*Table1[[#This Row],[total_bill]])</f>
        <v>3.1337868232353534</v>
      </c>
      <c r="E105" s="39">
        <f>Table1[[#This Row],[Actual tip]]-Table1[[#This Row],[Predicted Tip]]</f>
        <v>0.34621317676464658</v>
      </c>
      <c r="F105" s="41">
        <f>Table1[[#This Row],[Error]]^2</f>
        <v>0.11986356376546842</v>
      </c>
    </row>
    <row r="106" spans="1:6" ht="15.5" x14ac:dyDescent="0.35">
      <c r="A106" s="27">
        <v>2</v>
      </c>
      <c r="B106" s="26">
        <v>20.92</v>
      </c>
      <c r="C106" s="26">
        <v>4.08</v>
      </c>
      <c r="D106" s="39">
        <f>$J$3+($J$4*Table1[[#This Row],[size]])+($J$5*Table1[[#This Row],[total_bill]])</f>
        <v>2.9948307305024815</v>
      </c>
      <c r="E106" s="39">
        <f>Table1[[#This Row],[Actual tip]]-Table1[[#This Row],[Predicted Tip]]</f>
        <v>1.0851692694975186</v>
      </c>
      <c r="F106" s="41">
        <f>Table1[[#This Row],[Error]]^2</f>
        <v>1.1775923434617781</v>
      </c>
    </row>
    <row r="107" spans="1:6" ht="15.5" x14ac:dyDescent="0.35">
      <c r="A107" s="27">
        <v>2</v>
      </c>
      <c r="B107" s="26">
        <v>15.36</v>
      </c>
      <c r="C107" s="26">
        <v>1.64</v>
      </c>
      <c r="D107" s="39">
        <f>$J$3+($J$4*Table1[[#This Row],[size]])+($J$5*Table1[[#This Row],[total_bill]])</f>
        <v>2.4797668134393023</v>
      </c>
      <c r="E107" s="39">
        <f>Table1[[#This Row],[Actual tip]]-Table1[[#This Row],[Predicted Tip]]</f>
        <v>-0.83976681343930237</v>
      </c>
      <c r="F107" s="41">
        <f>Table1[[#This Row],[Error]]^2</f>
        <v>0.70520830095400011</v>
      </c>
    </row>
    <row r="108" spans="1:6" ht="15.5" x14ac:dyDescent="0.35">
      <c r="A108" s="27">
        <v>2</v>
      </c>
      <c r="B108" s="26">
        <v>20.49</v>
      </c>
      <c r="C108" s="26">
        <v>4.0599999999999996</v>
      </c>
      <c r="D108" s="39">
        <f>$J$3+($J$4*Table1[[#This Row],[size]])+($J$5*Table1[[#This Row],[total_bill]])</f>
        <v>2.9549966505857244</v>
      </c>
      <c r="E108" s="39">
        <f>Table1[[#This Row],[Actual tip]]-Table1[[#This Row],[Predicted Tip]]</f>
        <v>1.1050033494142752</v>
      </c>
      <c r="F108" s="41">
        <f>Table1[[#This Row],[Error]]^2</f>
        <v>1.2210324022167669</v>
      </c>
    </row>
    <row r="109" spans="1:6" ht="15.5" x14ac:dyDescent="0.35">
      <c r="A109" s="27">
        <v>2</v>
      </c>
      <c r="B109" s="26">
        <v>25.21</v>
      </c>
      <c r="C109" s="26">
        <v>4.29</v>
      </c>
      <c r="D109" s="39">
        <f>$J$3+($J$4*Table1[[#This Row],[size]])+($J$5*Table1[[#This Row],[total_bill]])</f>
        <v>3.3922451557184954</v>
      </c>
      <c r="E109" s="39">
        <f>Table1[[#This Row],[Actual tip]]-Table1[[#This Row],[Predicted Tip]]</f>
        <v>0.89775484428150465</v>
      </c>
      <c r="F109" s="41">
        <f>Table1[[#This Row],[Error]]^2</f>
        <v>0.80596376043090867</v>
      </c>
    </row>
    <row r="110" spans="1:6" ht="15.5" x14ac:dyDescent="0.35">
      <c r="A110" s="27">
        <v>2</v>
      </c>
      <c r="B110" s="26">
        <v>18.239999999999998</v>
      </c>
      <c r="C110" s="26">
        <v>3.76</v>
      </c>
      <c r="D110" s="39">
        <f>$J$3+($J$4*Table1[[#This Row],[size]])+($J$5*Table1[[#This Row],[total_bill]])</f>
        <v>2.7465625114864167</v>
      </c>
      <c r="E110" s="39">
        <f>Table1[[#This Row],[Actual tip]]-Table1[[#This Row],[Predicted Tip]]</f>
        <v>1.0134374885135831</v>
      </c>
      <c r="F110" s="41">
        <f>Table1[[#This Row],[Error]]^2</f>
        <v>1.0270555431247188</v>
      </c>
    </row>
    <row r="111" spans="1:6" ht="15.5" x14ac:dyDescent="0.35">
      <c r="A111" s="27">
        <v>2</v>
      </c>
      <c r="B111" s="26">
        <v>14.31</v>
      </c>
      <c r="C111" s="26">
        <v>4</v>
      </c>
      <c r="D111" s="39">
        <f>$J$3+($J$4*Table1[[#This Row],[size]])+($J$5*Table1[[#This Row],[total_bill]])</f>
        <v>2.3824975485262918</v>
      </c>
      <c r="E111" s="39">
        <f>Table1[[#This Row],[Actual tip]]-Table1[[#This Row],[Predicted Tip]]</f>
        <v>1.6175024514737082</v>
      </c>
      <c r="F111" s="41">
        <f>Table1[[#This Row],[Error]]^2</f>
        <v>2.6163141805234558</v>
      </c>
    </row>
    <row r="112" spans="1:6" ht="15.5" x14ac:dyDescent="0.35">
      <c r="A112" s="27">
        <v>2</v>
      </c>
      <c r="B112" s="26">
        <v>14</v>
      </c>
      <c r="C112" s="26">
        <v>3</v>
      </c>
      <c r="D112" s="39">
        <f>$J$3+($J$4*Table1[[#This Row],[size]])+($J$5*Table1[[#This Row],[total_bill]])</f>
        <v>2.3537799560281649</v>
      </c>
      <c r="E112" s="39">
        <f>Table1[[#This Row],[Actual tip]]-Table1[[#This Row],[Predicted Tip]]</f>
        <v>0.64622004397183508</v>
      </c>
      <c r="F112" s="41">
        <f>Table1[[#This Row],[Error]]^2</f>
        <v>0.41760034523096046</v>
      </c>
    </row>
    <row r="113" spans="1:6" ht="15.5" x14ac:dyDescent="0.35">
      <c r="A113" s="27">
        <v>1</v>
      </c>
      <c r="B113" s="26">
        <v>7.25</v>
      </c>
      <c r="C113" s="26">
        <v>1</v>
      </c>
      <c r="D113" s="39">
        <f>$J$3+($J$4*Table1[[#This Row],[size]])+($J$5*Table1[[#This Row],[total_bill]])</f>
        <v>1.5361312226750172</v>
      </c>
      <c r="E113" s="39">
        <f>Table1[[#This Row],[Actual tip]]-Table1[[#This Row],[Predicted Tip]]</f>
        <v>-0.53613122267501723</v>
      </c>
      <c r="F113" s="41">
        <f>Table1[[#This Row],[Error]]^2</f>
        <v>0.28743668792700888</v>
      </c>
    </row>
    <row r="114" spans="1:6" ht="15.5" x14ac:dyDescent="0.35">
      <c r="A114" s="27">
        <v>3</v>
      </c>
      <c r="B114" s="26">
        <v>38.07</v>
      </c>
      <c r="C114" s="26">
        <v>4</v>
      </c>
      <c r="D114" s="39">
        <f>$J$3+($J$4*Table1[[#This Row],[size]])+($J$5*Table1[[#This Row],[total_bill]])</f>
        <v>4.7759083734702088</v>
      </c>
      <c r="E114" s="39">
        <f>Table1[[#This Row],[Actual tip]]-Table1[[#This Row],[Predicted Tip]]</f>
        <v>-0.7759083734702088</v>
      </c>
      <c r="F114" s="41">
        <f>Table1[[#This Row],[Error]]^2</f>
        <v>0.602033804021185</v>
      </c>
    </row>
    <row r="115" spans="1:6" ht="15.5" x14ac:dyDescent="0.35">
      <c r="A115" s="27">
        <v>2</v>
      </c>
      <c r="B115" s="26">
        <v>23.95</v>
      </c>
      <c r="C115" s="26">
        <v>2.5499999999999998</v>
      </c>
      <c r="D115" s="39">
        <f>$J$3+($J$4*Table1[[#This Row],[size]])+($J$5*Table1[[#This Row],[total_bill]])</f>
        <v>3.2755220378228826</v>
      </c>
      <c r="E115" s="39">
        <f>Table1[[#This Row],[Actual tip]]-Table1[[#This Row],[Predicted Tip]]</f>
        <v>-0.72552203782288283</v>
      </c>
      <c r="F115" s="41">
        <f>Table1[[#This Row],[Error]]^2</f>
        <v>0.52638222736666862</v>
      </c>
    </row>
    <row r="116" spans="1:6" ht="15.5" x14ac:dyDescent="0.35">
      <c r="A116" s="27">
        <v>3</v>
      </c>
      <c r="B116" s="26">
        <v>25.71</v>
      </c>
      <c r="C116" s="26">
        <v>4</v>
      </c>
      <c r="D116" s="39">
        <f>$J$3+($J$4*Table1[[#This Row],[size]])+($J$5*Table1[[#This Row],[total_bill]])</f>
        <v>3.6309101693513428</v>
      </c>
      <c r="E116" s="39">
        <f>Table1[[#This Row],[Actual tip]]-Table1[[#This Row],[Predicted Tip]]</f>
        <v>0.36908983064865719</v>
      </c>
      <c r="F116" s="41">
        <f>Table1[[#This Row],[Error]]^2</f>
        <v>0.13622730308825445</v>
      </c>
    </row>
    <row r="117" spans="1:6" ht="15.5" x14ac:dyDescent="0.35">
      <c r="A117" s="27">
        <v>2</v>
      </c>
      <c r="B117" s="26">
        <v>17.309999999999999</v>
      </c>
      <c r="C117" s="26">
        <v>3.5</v>
      </c>
      <c r="D117" s="39">
        <f>$J$3+($J$4*Table1[[#This Row],[size]])+($J$5*Table1[[#This Row],[total_bill]])</f>
        <v>2.6604097339920356</v>
      </c>
      <c r="E117" s="39">
        <f>Table1[[#This Row],[Actual tip]]-Table1[[#This Row],[Predicted Tip]]</f>
        <v>0.83959026600796438</v>
      </c>
      <c r="F117" s="41">
        <f>Table1[[#This Row],[Error]]^2</f>
        <v>0.70491181477532439</v>
      </c>
    </row>
    <row r="118" spans="1:6" ht="15.5" x14ac:dyDescent="0.35">
      <c r="A118" s="27">
        <v>4</v>
      </c>
      <c r="B118" s="26">
        <v>29.93</v>
      </c>
      <c r="C118" s="26">
        <v>5.07</v>
      </c>
      <c r="D118" s="39">
        <f>$J$3+($J$4*Table1[[#This Row],[size]])+($J$5*Table1[[#This Row],[total_bill]])</f>
        <v>4.2141862929617124</v>
      </c>
      <c r="E118" s="39">
        <f>Table1[[#This Row],[Actual tip]]-Table1[[#This Row],[Predicted Tip]]</f>
        <v>0.85581370703828785</v>
      </c>
      <c r="F118" s="41">
        <f>Table1[[#This Row],[Error]]^2</f>
        <v>0.73241710115461633</v>
      </c>
    </row>
    <row r="119" spans="1:6" ht="15.5" x14ac:dyDescent="0.35">
      <c r="A119" s="27">
        <v>2</v>
      </c>
      <c r="B119" s="26">
        <v>10.65</v>
      </c>
      <c r="C119" s="26">
        <v>1.5</v>
      </c>
      <c r="D119" s="39">
        <f>$J$3+($J$4*Table1[[#This Row],[size]])+($J$5*Table1[[#This Row],[total_bill]])</f>
        <v>2.0434446822580838</v>
      </c>
      <c r="E119" s="39">
        <f>Table1[[#This Row],[Actual tip]]-Table1[[#This Row],[Predicted Tip]]</f>
        <v>-0.54344468225808384</v>
      </c>
      <c r="F119" s="41">
        <f>Table1[[#This Row],[Error]]^2</f>
        <v>0.29533212267458969</v>
      </c>
    </row>
    <row r="120" spans="1:6" ht="15.5" x14ac:dyDescent="0.35">
      <c r="A120" s="27">
        <v>2</v>
      </c>
      <c r="B120" s="26">
        <v>12.43</v>
      </c>
      <c r="C120" s="26">
        <v>1.8</v>
      </c>
      <c r="D120" s="39">
        <f>$J$3+($J$4*Table1[[#This Row],[size]])+($J$5*Table1[[#This Row],[total_bill]])</f>
        <v>2.2083392456344253</v>
      </c>
      <c r="E120" s="39">
        <f>Table1[[#This Row],[Actual tip]]-Table1[[#This Row],[Predicted Tip]]</f>
        <v>-0.40833924563442525</v>
      </c>
      <c r="F120" s="41">
        <f>Table1[[#This Row],[Error]]^2</f>
        <v>0.16674093952529148</v>
      </c>
    </row>
    <row r="121" spans="1:6" ht="15.5" x14ac:dyDescent="0.35">
      <c r="A121" s="27">
        <v>4</v>
      </c>
      <c r="B121" s="26">
        <v>24.08</v>
      </c>
      <c r="C121" s="26">
        <v>2.92</v>
      </c>
      <c r="D121" s="39">
        <f>$J$3+($J$4*Table1[[#This Row],[size]])+($J$5*Table1[[#This Row],[total_bill]])</f>
        <v>3.6722575313035115</v>
      </c>
      <c r="E121" s="39">
        <f>Table1[[#This Row],[Actual tip]]-Table1[[#This Row],[Predicted Tip]]</f>
        <v>-0.75225753130351158</v>
      </c>
      <c r="F121" s="41">
        <f>Table1[[#This Row],[Error]]^2</f>
        <v>0.56589139340285366</v>
      </c>
    </row>
    <row r="122" spans="1:6" ht="15.5" x14ac:dyDescent="0.35">
      <c r="A122" s="27">
        <v>2</v>
      </c>
      <c r="B122" s="26">
        <v>11.69</v>
      </c>
      <c r="C122" s="26">
        <v>2.31</v>
      </c>
      <c r="D122" s="39">
        <f>$J$3+($J$4*Table1[[#This Row],[size]])+($J$5*Table1[[#This Row],[total_bill]])</f>
        <v>2.1397875732195422</v>
      </c>
      <c r="E122" s="39">
        <f>Table1[[#This Row],[Actual tip]]-Table1[[#This Row],[Predicted Tip]]</f>
        <v>0.17021242678045789</v>
      </c>
      <c r="F122" s="41">
        <f>Table1[[#This Row],[Error]]^2</f>
        <v>2.8972270230492741E-2</v>
      </c>
    </row>
    <row r="123" spans="1:6" ht="15.5" x14ac:dyDescent="0.35">
      <c r="A123" s="27">
        <v>2</v>
      </c>
      <c r="B123" s="26">
        <v>13.42</v>
      </c>
      <c r="C123" s="26">
        <v>1.68</v>
      </c>
      <c r="D123" s="39">
        <f>$J$3+($J$4*Table1[[#This Row],[size]])+($J$5*Table1[[#This Row],[total_bill]])</f>
        <v>2.3000502668381211</v>
      </c>
      <c r="E123" s="39">
        <f>Table1[[#This Row],[Actual tip]]-Table1[[#This Row],[Predicted Tip]]</f>
        <v>-0.62005026683812114</v>
      </c>
      <c r="F123" s="41">
        <f>Table1[[#This Row],[Error]]^2</f>
        <v>0.38446233340602526</v>
      </c>
    </row>
    <row r="124" spans="1:6" ht="15.5" x14ac:dyDescent="0.35">
      <c r="A124" s="27">
        <v>2</v>
      </c>
      <c r="B124" s="26">
        <v>14.26</v>
      </c>
      <c r="C124" s="26">
        <v>2.5</v>
      </c>
      <c r="D124" s="39">
        <f>$J$3+($J$4*Table1[[#This Row],[size]])+($J$5*Table1[[#This Row],[total_bill]])</f>
        <v>2.3778656787685293</v>
      </c>
      <c r="E124" s="39">
        <f>Table1[[#This Row],[Actual tip]]-Table1[[#This Row],[Predicted Tip]]</f>
        <v>0.12213432123147072</v>
      </c>
      <c r="F124" s="41">
        <f>Table1[[#This Row],[Error]]^2</f>
        <v>1.491679242267208E-2</v>
      </c>
    </row>
    <row r="125" spans="1:6" ht="15.5" x14ac:dyDescent="0.35">
      <c r="A125" s="27">
        <v>2</v>
      </c>
      <c r="B125" s="26">
        <v>15.95</v>
      </c>
      <c r="C125" s="26">
        <v>2</v>
      </c>
      <c r="D125" s="39">
        <f>$J$3+($J$4*Table1[[#This Row],[size]])+($J$5*Table1[[#This Row],[total_bill]])</f>
        <v>2.5344228765808987</v>
      </c>
      <c r="E125" s="39">
        <f>Table1[[#This Row],[Actual tip]]-Table1[[#This Row],[Predicted Tip]]</f>
        <v>-0.53442287658089871</v>
      </c>
      <c r="F125" s="41">
        <f>Table1[[#This Row],[Error]]^2</f>
        <v>0.28560781101300248</v>
      </c>
    </row>
    <row r="126" spans="1:6" ht="15.5" x14ac:dyDescent="0.35">
      <c r="A126" s="27">
        <v>2</v>
      </c>
      <c r="B126" s="26">
        <v>12.48</v>
      </c>
      <c r="C126" s="26">
        <v>2.52</v>
      </c>
      <c r="D126" s="39">
        <f>$J$3+($J$4*Table1[[#This Row],[size]])+($J$5*Table1[[#This Row],[total_bill]])</f>
        <v>2.2129711153921878</v>
      </c>
      <c r="E126" s="39">
        <f>Table1[[#This Row],[Actual tip]]-Table1[[#This Row],[Predicted Tip]]</f>
        <v>0.30702888460781219</v>
      </c>
      <c r="F126" s="41">
        <f>Table1[[#This Row],[Error]]^2</f>
        <v>9.4266735983517258E-2</v>
      </c>
    </row>
    <row r="127" spans="1:6" ht="15.5" x14ac:dyDescent="0.35">
      <c r="A127" s="27">
        <v>6</v>
      </c>
      <c r="B127" s="26">
        <v>29.8</v>
      </c>
      <c r="C127" s="26">
        <v>4.2</v>
      </c>
      <c r="D127" s="39">
        <f>$J$3+($J$4*Table1[[#This Row],[size]])+($J$5*Table1[[#This Row],[total_bill]])</f>
        <v>4.5868360637019769</v>
      </c>
      <c r="E127" s="39">
        <f>Table1[[#This Row],[Actual tip]]-Table1[[#This Row],[Predicted Tip]]</f>
        <v>-0.38683606370197676</v>
      </c>
      <c r="F127" s="41">
        <f>Table1[[#This Row],[Error]]^2</f>
        <v>0.14964214018043984</v>
      </c>
    </row>
    <row r="128" spans="1:6" ht="15.5" x14ac:dyDescent="0.35">
      <c r="A128" s="27">
        <v>2</v>
      </c>
      <c r="B128" s="26">
        <v>8.52</v>
      </c>
      <c r="C128" s="26">
        <v>1.48</v>
      </c>
      <c r="D128" s="39">
        <f>$J$3+($J$4*Table1[[#This Row],[size]])+($J$5*Table1[[#This Row],[total_bill]])</f>
        <v>1.8461270305774056</v>
      </c>
      <c r="E128" s="39">
        <f>Table1[[#This Row],[Actual tip]]-Table1[[#This Row],[Predicted Tip]]</f>
        <v>-0.36612703057740559</v>
      </c>
      <c r="F128" s="41">
        <f>Table1[[#This Row],[Error]]^2</f>
        <v>0.13404900251942847</v>
      </c>
    </row>
    <row r="129" spans="1:6" ht="15.5" x14ac:dyDescent="0.35">
      <c r="A129" s="27">
        <v>2</v>
      </c>
      <c r="B129" s="26">
        <v>14.52</v>
      </c>
      <c r="C129" s="26">
        <v>2</v>
      </c>
      <c r="D129" s="39">
        <f>$J$3+($J$4*Table1[[#This Row],[size]])+($J$5*Table1[[#This Row],[total_bill]])</f>
        <v>2.4019514015088941</v>
      </c>
      <c r="E129" s="39">
        <f>Table1[[#This Row],[Actual tip]]-Table1[[#This Row],[Predicted Tip]]</f>
        <v>-0.40195140150889408</v>
      </c>
      <c r="F129" s="41">
        <f>Table1[[#This Row],[Error]]^2</f>
        <v>0.16156492917496418</v>
      </c>
    </row>
    <row r="130" spans="1:6" ht="15.5" x14ac:dyDescent="0.35">
      <c r="A130" s="27">
        <v>2</v>
      </c>
      <c r="B130" s="26">
        <v>11.38</v>
      </c>
      <c r="C130" s="26">
        <v>2</v>
      </c>
      <c r="D130" s="39">
        <f>$J$3+($J$4*Table1[[#This Row],[size]])+($J$5*Table1[[#This Row],[total_bill]])</f>
        <v>2.1110699807214153</v>
      </c>
      <c r="E130" s="39">
        <f>Table1[[#This Row],[Actual tip]]-Table1[[#This Row],[Predicted Tip]]</f>
        <v>-0.11106998072141527</v>
      </c>
      <c r="F130" s="41">
        <f>Table1[[#This Row],[Error]]^2</f>
        <v>1.2336540617455561E-2</v>
      </c>
    </row>
    <row r="131" spans="1:6" ht="15.5" x14ac:dyDescent="0.35">
      <c r="A131" s="27">
        <v>3</v>
      </c>
      <c r="B131" s="26">
        <v>22.82</v>
      </c>
      <c r="C131" s="26">
        <v>2.1800000000000002</v>
      </c>
      <c r="D131" s="39">
        <f>$J$3+($J$4*Table1[[#This Row],[size]])+($J$5*Table1[[#This Row],[total_bill]])</f>
        <v>3.3631880973526762</v>
      </c>
      <c r="E131" s="39">
        <f>Table1[[#This Row],[Actual tip]]-Table1[[#This Row],[Predicted Tip]]</f>
        <v>-1.183188097352676</v>
      </c>
      <c r="F131" s="41">
        <f>Table1[[#This Row],[Error]]^2</f>
        <v>1.3999340737170456</v>
      </c>
    </row>
    <row r="132" spans="1:6" ht="15.5" x14ac:dyDescent="0.35">
      <c r="A132" s="27">
        <v>2</v>
      </c>
      <c r="B132" s="26">
        <v>19.079999999999998</v>
      </c>
      <c r="C132" s="26">
        <v>1.5</v>
      </c>
      <c r="D132" s="39">
        <f>$J$3+($J$4*Table1[[#This Row],[size]])+($J$5*Table1[[#This Row],[total_bill]])</f>
        <v>2.8243779234168249</v>
      </c>
      <c r="E132" s="39">
        <f>Table1[[#This Row],[Actual tip]]-Table1[[#This Row],[Predicted Tip]]</f>
        <v>-1.3243779234168249</v>
      </c>
      <c r="F132" s="41">
        <f>Table1[[#This Row],[Error]]^2</f>
        <v>1.7539768840338614</v>
      </c>
    </row>
    <row r="133" spans="1:6" ht="15.5" x14ac:dyDescent="0.35">
      <c r="A133" s="27">
        <v>2</v>
      </c>
      <c r="B133" s="26">
        <v>20.27</v>
      </c>
      <c r="C133" s="26">
        <v>2.83</v>
      </c>
      <c r="D133" s="39">
        <f>$J$3+($J$4*Table1[[#This Row],[size]])+($J$5*Table1[[#This Row],[total_bill]])</f>
        <v>2.9346164236515699</v>
      </c>
      <c r="E133" s="39">
        <f>Table1[[#This Row],[Actual tip]]-Table1[[#This Row],[Predicted Tip]]</f>
        <v>-0.10461642365156987</v>
      </c>
      <c r="F133" s="41">
        <f>Table1[[#This Row],[Error]]^2</f>
        <v>1.0944596097644747E-2</v>
      </c>
    </row>
    <row r="134" spans="1:6" ht="15.5" x14ac:dyDescent="0.35">
      <c r="A134" s="27">
        <v>2</v>
      </c>
      <c r="B134" s="26">
        <v>11.17</v>
      </c>
      <c r="C134" s="26">
        <v>1.5</v>
      </c>
      <c r="D134" s="39">
        <f>$J$3+($J$4*Table1[[#This Row],[size]])+($J$5*Table1[[#This Row],[total_bill]])</f>
        <v>2.091616127738813</v>
      </c>
      <c r="E134" s="39">
        <f>Table1[[#This Row],[Actual tip]]-Table1[[#This Row],[Predicted Tip]]</f>
        <v>-0.591616127738813</v>
      </c>
      <c r="F134" s="41">
        <f>Table1[[#This Row],[Error]]^2</f>
        <v>0.35000964260066753</v>
      </c>
    </row>
    <row r="135" spans="1:6" ht="15.5" x14ac:dyDescent="0.35">
      <c r="A135" s="27">
        <v>2</v>
      </c>
      <c r="B135" s="26">
        <v>12.26</v>
      </c>
      <c r="C135" s="26">
        <v>2</v>
      </c>
      <c r="D135" s="39">
        <f>$J$3+($J$4*Table1[[#This Row],[size]])+($J$5*Table1[[#This Row],[total_bill]])</f>
        <v>2.1925908884580334</v>
      </c>
      <c r="E135" s="39">
        <f>Table1[[#This Row],[Actual tip]]-Table1[[#This Row],[Predicted Tip]]</f>
        <v>-0.1925908884580334</v>
      </c>
      <c r="F135" s="41">
        <f>Table1[[#This Row],[Error]]^2</f>
        <v>3.7091250317054666E-2</v>
      </c>
    </row>
    <row r="136" spans="1:6" ht="15.5" x14ac:dyDescent="0.35">
      <c r="A136" s="27">
        <v>2</v>
      </c>
      <c r="B136" s="26">
        <v>18.260000000000002</v>
      </c>
      <c r="C136" s="26">
        <v>3.25</v>
      </c>
      <c r="D136" s="39">
        <f>$J$3+($J$4*Table1[[#This Row],[size]])+($J$5*Table1[[#This Row],[total_bill]])</f>
        <v>2.7484152593895219</v>
      </c>
      <c r="E136" s="39">
        <f>Table1[[#This Row],[Actual tip]]-Table1[[#This Row],[Predicted Tip]]</f>
        <v>0.50158474061047809</v>
      </c>
      <c r="F136" s="41">
        <f>Table1[[#This Row],[Error]]^2</f>
        <v>0.25158725201328058</v>
      </c>
    </row>
    <row r="137" spans="1:6" ht="15.5" x14ac:dyDescent="0.35">
      <c r="A137" s="27">
        <v>2</v>
      </c>
      <c r="B137" s="26">
        <v>8.51</v>
      </c>
      <c r="C137" s="26">
        <v>1.25</v>
      </c>
      <c r="D137" s="39">
        <f>$J$3+($J$4*Table1[[#This Row],[size]])+($J$5*Table1[[#This Row],[total_bill]])</f>
        <v>1.8452006566258532</v>
      </c>
      <c r="E137" s="39">
        <f>Table1[[#This Row],[Actual tip]]-Table1[[#This Row],[Predicted Tip]]</f>
        <v>-0.5952006566258532</v>
      </c>
      <c r="F137" s="41">
        <f>Table1[[#This Row],[Error]]^2</f>
        <v>0.35426382164784681</v>
      </c>
    </row>
    <row r="138" spans="1:6" ht="15.5" x14ac:dyDescent="0.35">
      <c r="A138" s="27">
        <v>2</v>
      </c>
      <c r="B138" s="26">
        <v>10.33</v>
      </c>
      <c r="C138" s="26">
        <v>2</v>
      </c>
      <c r="D138" s="39">
        <f>$J$3+($J$4*Table1[[#This Row],[size]])+($J$5*Table1[[#This Row],[total_bill]])</f>
        <v>2.0138007158084048</v>
      </c>
      <c r="E138" s="39">
        <f>Table1[[#This Row],[Actual tip]]-Table1[[#This Row],[Predicted Tip]]</f>
        <v>-1.3800715808404806E-2</v>
      </c>
      <c r="F138" s="41">
        <f>Table1[[#This Row],[Error]]^2</f>
        <v>1.9045975682435433E-4</v>
      </c>
    </row>
    <row r="139" spans="1:6" ht="15.5" x14ac:dyDescent="0.35">
      <c r="A139" s="27">
        <v>2</v>
      </c>
      <c r="B139" s="26">
        <v>14.15</v>
      </c>
      <c r="C139" s="26">
        <v>2</v>
      </c>
      <c r="D139" s="39">
        <f>$J$3+($J$4*Table1[[#This Row],[size]])+($J$5*Table1[[#This Row],[total_bill]])</f>
        <v>2.3676755653014521</v>
      </c>
      <c r="E139" s="39">
        <f>Table1[[#This Row],[Actual tip]]-Table1[[#This Row],[Predicted Tip]]</f>
        <v>-0.36767556530145207</v>
      </c>
      <c r="F139" s="41">
        <f>Table1[[#This Row],[Error]]^2</f>
        <v>0.13518532131974234</v>
      </c>
    </row>
    <row r="140" spans="1:6" ht="15.5" x14ac:dyDescent="0.35">
      <c r="A140" s="27">
        <v>2</v>
      </c>
      <c r="B140" s="26">
        <v>16</v>
      </c>
      <c r="C140" s="26">
        <v>2</v>
      </c>
      <c r="D140" s="39">
        <f>$J$3+($J$4*Table1[[#This Row],[size]])+($J$5*Table1[[#This Row],[total_bill]])</f>
        <v>2.5390547463386612</v>
      </c>
      <c r="E140" s="39">
        <f>Table1[[#This Row],[Actual tip]]-Table1[[#This Row],[Predicted Tip]]</f>
        <v>-0.53905474633866124</v>
      </c>
      <c r="F140" s="41">
        <f>Table1[[#This Row],[Error]]^2</f>
        <v>0.29058001955023843</v>
      </c>
    </row>
    <row r="141" spans="1:6" ht="15.5" x14ac:dyDescent="0.35">
      <c r="A141" s="27">
        <v>2</v>
      </c>
      <c r="B141" s="26">
        <v>13.16</v>
      </c>
      <c r="C141" s="26">
        <v>2.75</v>
      </c>
      <c r="D141" s="39">
        <f>$J$3+($J$4*Table1[[#This Row],[size]])+($J$5*Table1[[#This Row],[total_bill]])</f>
        <v>2.2759645440977563</v>
      </c>
      <c r="E141" s="39">
        <f>Table1[[#This Row],[Actual tip]]-Table1[[#This Row],[Predicted Tip]]</f>
        <v>0.47403545590224372</v>
      </c>
      <c r="F141" s="41">
        <f>Table1[[#This Row],[Error]]^2</f>
        <v>0.22470961345244805</v>
      </c>
    </row>
    <row r="142" spans="1:6" ht="15.5" x14ac:dyDescent="0.35">
      <c r="A142" s="27">
        <v>2</v>
      </c>
      <c r="B142" s="26">
        <v>17.47</v>
      </c>
      <c r="C142" s="26">
        <v>3.5</v>
      </c>
      <c r="D142" s="39">
        <f>$J$3+($J$4*Table1[[#This Row],[size]])+($J$5*Table1[[#This Row],[total_bill]])</f>
        <v>2.6752317172168754</v>
      </c>
      <c r="E142" s="39">
        <f>Table1[[#This Row],[Actual tip]]-Table1[[#This Row],[Predicted Tip]]</f>
        <v>0.82476828278312464</v>
      </c>
      <c r="F142" s="41">
        <f>Table1[[#This Row],[Error]]^2</f>
        <v>0.6802427202850243</v>
      </c>
    </row>
    <row r="143" spans="1:6" ht="15.5" x14ac:dyDescent="0.35">
      <c r="A143" s="27">
        <v>6</v>
      </c>
      <c r="B143" s="26">
        <v>34.299999999999997</v>
      </c>
      <c r="C143" s="26">
        <v>6.7</v>
      </c>
      <c r="D143" s="39">
        <f>$J$3+($J$4*Table1[[#This Row],[size]])+($J$5*Table1[[#This Row],[total_bill]])</f>
        <v>5.0037043419005931</v>
      </c>
      <c r="E143" s="39">
        <f>Table1[[#This Row],[Actual tip]]-Table1[[#This Row],[Predicted Tip]]</f>
        <v>1.6962956580994071</v>
      </c>
      <c r="F143" s="41">
        <f>Table1[[#This Row],[Error]]^2</f>
        <v>2.8774189596869006</v>
      </c>
    </row>
    <row r="144" spans="1:6" ht="15.5" x14ac:dyDescent="0.35">
      <c r="A144" s="27">
        <v>5</v>
      </c>
      <c r="B144" s="26">
        <v>41.19</v>
      </c>
      <c r="C144" s="26">
        <v>5</v>
      </c>
      <c r="D144" s="39">
        <f>$J$3+($J$4*Table1[[#This Row],[size]])+($J$5*Table1[[#This Row],[total_bill]])</f>
        <v>5.4496296784650289</v>
      </c>
      <c r="E144" s="39">
        <f>Table1[[#This Row],[Actual tip]]-Table1[[#This Row],[Predicted Tip]]</f>
        <v>-0.44962967846502888</v>
      </c>
      <c r="F144" s="41">
        <f>Table1[[#This Row],[Error]]^2</f>
        <v>0.20216684775656527</v>
      </c>
    </row>
    <row r="145" spans="1:6" ht="15.5" x14ac:dyDescent="0.35">
      <c r="A145" s="27">
        <v>6</v>
      </c>
      <c r="B145" s="26">
        <v>27.05</v>
      </c>
      <c r="C145" s="26">
        <v>5</v>
      </c>
      <c r="D145" s="39">
        <f>$J$3+($J$4*Table1[[#This Row],[size]])+($J$5*Table1[[#This Row],[total_bill]])</f>
        <v>4.3320832270250449</v>
      </c>
      <c r="E145" s="39">
        <f>Table1[[#This Row],[Actual tip]]-Table1[[#This Row],[Predicted Tip]]</f>
        <v>0.66791677297495511</v>
      </c>
      <c r="F145" s="41">
        <f>Table1[[#This Row],[Error]]^2</f>
        <v>0.44611281562127775</v>
      </c>
    </row>
    <row r="146" spans="1:6" ht="15.5" x14ac:dyDescent="0.35">
      <c r="A146" s="27">
        <v>2</v>
      </c>
      <c r="B146" s="26">
        <v>16.43</v>
      </c>
      <c r="C146" s="26">
        <v>2.2999999999999998</v>
      </c>
      <c r="D146" s="39">
        <f>$J$3+($J$4*Table1[[#This Row],[size]])+($J$5*Table1[[#This Row],[total_bill]])</f>
        <v>2.5788888262554179</v>
      </c>
      <c r="E146" s="39">
        <f>Table1[[#This Row],[Actual tip]]-Table1[[#This Row],[Predicted Tip]]</f>
        <v>-0.27888882625541811</v>
      </c>
      <c r="F146" s="41">
        <f>Table1[[#This Row],[Error]]^2</f>
        <v>7.7778977410124794E-2</v>
      </c>
    </row>
    <row r="147" spans="1:6" ht="15.5" x14ac:dyDescent="0.35">
      <c r="A147" s="27">
        <v>2</v>
      </c>
      <c r="B147" s="26">
        <v>8.35</v>
      </c>
      <c r="C147" s="26">
        <v>1.5</v>
      </c>
      <c r="D147" s="39">
        <f>$J$3+($J$4*Table1[[#This Row],[size]])+($J$5*Table1[[#This Row],[total_bill]])</f>
        <v>1.8303786734010137</v>
      </c>
      <c r="E147" s="39">
        <f>Table1[[#This Row],[Actual tip]]-Table1[[#This Row],[Predicted Tip]]</f>
        <v>-0.33037867340101368</v>
      </c>
      <c r="F147" s="41">
        <f>Table1[[#This Row],[Error]]^2</f>
        <v>0.10915006783821367</v>
      </c>
    </row>
    <row r="148" spans="1:6" ht="15.5" x14ac:dyDescent="0.35">
      <c r="A148" s="27">
        <v>3</v>
      </c>
      <c r="B148" s="26">
        <v>18.64</v>
      </c>
      <c r="C148" s="26">
        <v>1.36</v>
      </c>
      <c r="D148" s="39">
        <f>$J$3+($J$4*Table1[[#This Row],[size]])+($J$5*Table1[[#This Row],[total_bill]])</f>
        <v>2.9759637856037391</v>
      </c>
      <c r="E148" s="39">
        <f>Table1[[#This Row],[Actual tip]]-Table1[[#This Row],[Predicted Tip]]</f>
        <v>-1.615963785603739</v>
      </c>
      <c r="F148" s="41">
        <f>Table1[[#This Row],[Error]]^2</f>
        <v>2.6113389563827667</v>
      </c>
    </row>
    <row r="149" spans="1:6" ht="15.5" x14ac:dyDescent="0.35">
      <c r="A149" s="27">
        <v>2</v>
      </c>
      <c r="B149" s="26">
        <v>11.87</v>
      </c>
      <c r="C149" s="26">
        <v>1.63</v>
      </c>
      <c r="D149" s="39">
        <f>$J$3+($J$4*Table1[[#This Row],[size]])+($J$5*Table1[[#This Row],[total_bill]])</f>
        <v>2.1564623043474866</v>
      </c>
      <c r="E149" s="39">
        <f>Table1[[#This Row],[Actual tip]]-Table1[[#This Row],[Predicted Tip]]</f>
        <v>-0.52646230434748675</v>
      </c>
      <c r="F149" s="41">
        <f>Table1[[#This Row],[Error]]^2</f>
        <v>0.27716255789886579</v>
      </c>
    </row>
    <row r="150" spans="1:6" ht="15.5" x14ac:dyDescent="0.35">
      <c r="A150" s="27">
        <v>2</v>
      </c>
      <c r="B150" s="26">
        <v>9.7799999999999994</v>
      </c>
      <c r="C150" s="26">
        <v>1.73</v>
      </c>
      <c r="D150" s="39">
        <f>$J$3+($J$4*Table1[[#This Row],[size]])+($J$5*Table1[[#This Row],[total_bill]])</f>
        <v>1.9628501484730183</v>
      </c>
      <c r="E150" s="39">
        <f>Table1[[#This Row],[Actual tip]]-Table1[[#This Row],[Predicted Tip]]</f>
        <v>-0.23285014847301833</v>
      </c>
      <c r="F150" s="41">
        <f>Table1[[#This Row],[Error]]^2</f>
        <v>5.4219191643906678E-2</v>
      </c>
    </row>
    <row r="151" spans="1:6" ht="15.5" x14ac:dyDescent="0.35">
      <c r="A151" s="27">
        <v>2</v>
      </c>
      <c r="B151" s="26">
        <v>7.51</v>
      </c>
      <c r="C151" s="26">
        <v>2</v>
      </c>
      <c r="D151" s="39">
        <f>$J$3+($J$4*Table1[[#This Row],[size]])+($J$5*Table1[[#This Row],[total_bill]])</f>
        <v>1.752563261470605</v>
      </c>
      <c r="E151" s="39">
        <f>Table1[[#This Row],[Actual tip]]-Table1[[#This Row],[Predicted Tip]]</f>
        <v>0.24743673852939496</v>
      </c>
      <c r="F151" s="41">
        <f>Table1[[#This Row],[Error]]^2</f>
        <v>6.122493957406417E-2</v>
      </c>
    </row>
    <row r="152" spans="1:6" ht="15.5" x14ac:dyDescent="0.35">
      <c r="A152" s="27">
        <v>2</v>
      </c>
      <c r="B152" s="26">
        <v>14.07</v>
      </c>
      <c r="C152" s="26">
        <v>2.5</v>
      </c>
      <c r="D152" s="39">
        <f>$J$3+($J$4*Table1[[#This Row],[size]])+($J$5*Table1[[#This Row],[total_bill]])</f>
        <v>2.3602645736890322</v>
      </c>
      <c r="E152" s="39">
        <f>Table1[[#This Row],[Actual tip]]-Table1[[#This Row],[Predicted Tip]]</f>
        <v>0.1397354263109678</v>
      </c>
      <c r="F152" s="41">
        <f>Table1[[#This Row],[Error]]^2</f>
        <v>1.9525989366307912E-2</v>
      </c>
    </row>
    <row r="153" spans="1:6" ht="15.5" x14ac:dyDescent="0.35">
      <c r="A153" s="27">
        <v>2</v>
      </c>
      <c r="B153" s="26">
        <v>13.13</v>
      </c>
      <c r="C153" s="26">
        <v>2</v>
      </c>
      <c r="D153" s="39">
        <f>$J$3+($J$4*Table1[[#This Row],[size]])+($J$5*Table1[[#This Row],[total_bill]])</f>
        <v>2.2731854222430989</v>
      </c>
      <c r="E153" s="39">
        <f>Table1[[#This Row],[Actual tip]]-Table1[[#This Row],[Predicted Tip]]</f>
        <v>-0.27318542224309894</v>
      </c>
      <c r="F153" s="41">
        <f>Table1[[#This Row],[Error]]^2</f>
        <v>7.4630274926140258E-2</v>
      </c>
    </row>
    <row r="154" spans="1:6" ht="15.5" x14ac:dyDescent="0.35">
      <c r="A154" s="27">
        <v>3</v>
      </c>
      <c r="B154" s="26">
        <v>17.260000000000002</v>
      </c>
      <c r="C154" s="26">
        <v>2.74</v>
      </c>
      <c r="D154" s="39">
        <f>$J$3+($J$4*Table1[[#This Row],[size]])+($J$5*Table1[[#This Row],[total_bill]])</f>
        <v>2.848124180289497</v>
      </c>
      <c r="E154" s="39">
        <f>Table1[[#This Row],[Actual tip]]-Table1[[#This Row],[Predicted Tip]]</f>
        <v>-0.10812418028949677</v>
      </c>
      <c r="F154" s="41">
        <f>Table1[[#This Row],[Error]]^2</f>
        <v>1.1690838363275603E-2</v>
      </c>
    </row>
    <row r="155" spans="1:6" ht="15.5" x14ac:dyDescent="0.35">
      <c r="A155" s="27">
        <v>4</v>
      </c>
      <c r="B155" s="26">
        <v>24.55</v>
      </c>
      <c r="C155" s="26">
        <v>2</v>
      </c>
      <c r="D155" s="39">
        <f>$J$3+($J$4*Table1[[#This Row],[size]])+($J$5*Table1[[#This Row],[total_bill]])</f>
        <v>3.7157971070264781</v>
      </c>
      <c r="E155" s="39">
        <f>Table1[[#This Row],[Actual tip]]-Table1[[#This Row],[Predicted Tip]]</f>
        <v>-1.7157971070264781</v>
      </c>
      <c r="F155" s="41">
        <f>Table1[[#This Row],[Error]]^2</f>
        <v>2.9439597124804315</v>
      </c>
    </row>
    <row r="156" spans="1:6" ht="15.5" x14ac:dyDescent="0.35">
      <c r="A156" s="27">
        <v>4</v>
      </c>
      <c r="B156" s="26">
        <v>19.77</v>
      </c>
      <c r="C156" s="26">
        <v>2</v>
      </c>
      <c r="D156" s="39">
        <f>$J$3+($J$4*Table1[[#This Row],[size]])+($J$5*Table1[[#This Row],[total_bill]])</f>
        <v>3.2729903581843924</v>
      </c>
      <c r="E156" s="39">
        <f>Table1[[#This Row],[Actual tip]]-Table1[[#This Row],[Predicted Tip]]</f>
        <v>-1.2729903581843924</v>
      </c>
      <c r="F156" s="41">
        <f>Table1[[#This Row],[Error]]^2</f>
        <v>1.6205044520304277</v>
      </c>
    </row>
    <row r="157" spans="1:6" ht="15.5" x14ac:dyDescent="0.35">
      <c r="A157" s="27">
        <v>5</v>
      </c>
      <c r="B157" s="26">
        <v>29.85</v>
      </c>
      <c r="C157" s="26">
        <v>5.14</v>
      </c>
      <c r="D157" s="39">
        <f>$J$3+($J$4*Table1[[#This Row],[size]])+($J$5*Table1[[#This Row],[total_bill]])</f>
        <v>4.399121617404516</v>
      </c>
      <c r="E157" s="39">
        <f>Table1[[#This Row],[Actual tip]]-Table1[[#This Row],[Predicted Tip]]</f>
        <v>0.74087838259548366</v>
      </c>
      <c r="F157" s="41">
        <f>Table1[[#This Row],[Error]]^2</f>
        <v>0.54890077779729984</v>
      </c>
    </row>
    <row r="158" spans="1:6" ht="15.5" x14ac:dyDescent="0.35">
      <c r="A158" s="27">
        <v>6</v>
      </c>
      <c r="B158" s="26">
        <v>48.17</v>
      </c>
      <c r="C158" s="26">
        <v>5</v>
      </c>
      <c r="D158" s="39">
        <f>$J$3+($J$4*Table1[[#This Row],[size]])+($J$5*Table1[[#This Row],[total_bill]])</f>
        <v>6.2885850127038836</v>
      </c>
      <c r="E158" s="39">
        <f>Table1[[#This Row],[Actual tip]]-Table1[[#This Row],[Predicted Tip]]</f>
        <v>-1.2885850127038836</v>
      </c>
      <c r="F158" s="41">
        <f>Table1[[#This Row],[Error]]^2</f>
        <v>1.6604513349650678</v>
      </c>
    </row>
    <row r="159" spans="1:6" ht="15.5" x14ac:dyDescent="0.35">
      <c r="A159" s="27">
        <v>4</v>
      </c>
      <c r="B159" s="26">
        <v>25</v>
      </c>
      <c r="C159" s="26">
        <v>3.75</v>
      </c>
      <c r="D159" s="39">
        <f>$J$3+($J$4*Table1[[#This Row],[size]])+($J$5*Table1[[#This Row],[total_bill]])</f>
        <v>3.7574839348463396</v>
      </c>
      <c r="E159" s="39">
        <f>Table1[[#This Row],[Actual tip]]-Table1[[#This Row],[Predicted Tip]]</f>
        <v>-7.4839348463395794E-3</v>
      </c>
      <c r="F159" s="41">
        <f>Table1[[#This Row],[Error]]^2</f>
        <v>5.6009280784255823E-5</v>
      </c>
    </row>
    <row r="160" spans="1:6" ht="15.5" x14ac:dyDescent="0.35">
      <c r="A160" s="27">
        <v>2</v>
      </c>
      <c r="B160" s="26">
        <v>13.39</v>
      </c>
      <c r="C160" s="26">
        <v>2.61</v>
      </c>
      <c r="D160" s="39">
        <f>$J$3+($J$4*Table1[[#This Row],[size]])+($J$5*Table1[[#This Row],[total_bill]])</f>
        <v>2.2972711449834637</v>
      </c>
      <c r="E160" s="39">
        <f>Table1[[#This Row],[Actual tip]]-Table1[[#This Row],[Predicted Tip]]</f>
        <v>0.31272885501653613</v>
      </c>
      <c r="F160" s="41">
        <f>Table1[[#This Row],[Error]]^2</f>
        <v>9.7799336759953684E-2</v>
      </c>
    </row>
    <row r="161" spans="1:6" ht="15.5" x14ac:dyDescent="0.35">
      <c r="A161" s="27">
        <v>4</v>
      </c>
      <c r="B161" s="26">
        <v>16.489999999999998</v>
      </c>
      <c r="C161" s="26">
        <v>2</v>
      </c>
      <c r="D161" s="39">
        <f>$J$3+($J$4*Table1[[#This Row],[size]])+($J$5*Table1[[#This Row],[total_bill]])</f>
        <v>2.9691397020751786</v>
      </c>
      <c r="E161" s="39">
        <f>Table1[[#This Row],[Actual tip]]-Table1[[#This Row],[Predicted Tip]]</f>
        <v>-0.96913970207517863</v>
      </c>
      <c r="F161" s="41">
        <f>Table1[[#This Row],[Error]]^2</f>
        <v>0.93923176213836601</v>
      </c>
    </row>
    <row r="162" spans="1:6" ht="15.5" x14ac:dyDescent="0.35">
      <c r="A162" s="27">
        <v>4</v>
      </c>
      <c r="B162" s="26">
        <v>21.5</v>
      </c>
      <c r="C162" s="26">
        <v>3.5</v>
      </c>
      <c r="D162" s="39">
        <f>$J$3+($J$4*Table1[[#This Row],[size]])+($J$5*Table1[[#This Row],[total_bill]])</f>
        <v>3.4332530518029714</v>
      </c>
      <c r="E162" s="39">
        <f>Table1[[#This Row],[Actual tip]]-Table1[[#This Row],[Predicted Tip]]</f>
        <v>6.6746948197028644E-2</v>
      </c>
      <c r="F162" s="41">
        <f>Table1[[#This Row],[Error]]^2</f>
        <v>4.4551550936168249E-3</v>
      </c>
    </row>
    <row r="163" spans="1:6" ht="15.5" x14ac:dyDescent="0.35">
      <c r="A163" s="27">
        <v>2</v>
      </c>
      <c r="B163" s="26">
        <v>12.66</v>
      </c>
      <c r="C163" s="26">
        <v>2.5</v>
      </c>
      <c r="D163" s="39">
        <f>$J$3+($J$4*Table1[[#This Row],[size]])+($J$5*Table1[[#This Row],[total_bill]])</f>
        <v>2.2296458465201328</v>
      </c>
      <c r="E163" s="39">
        <f>Table1[[#This Row],[Actual tip]]-Table1[[#This Row],[Predicted Tip]]</f>
        <v>0.27035415347986724</v>
      </c>
      <c r="F163" s="41">
        <f>Table1[[#This Row],[Error]]^2</f>
        <v>7.3091368303815615E-2</v>
      </c>
    </row>
    <row r="164" spans="1:6" ht="15.5" x14ac:dyDescent="0.35">
      <c r="A164" s="27">
        <v>3</v>
      </c>
      <c r="B164" s="26">
        <v>16.21</v>
      </c>
      <c r="C164" s="26">
        <v>2</v>
      </c>
      <c r="D164" s="39">
        <f>$J$3+($J$4*Table1[[#This Row],[size]])+($J$5*Table1[[#This Row],[total_bill]])</f>
        <v>2.7508549153764865</v>
      </c>
      <c r="E164" s="39">
        <f>Table1[[#This Row],[Actual tip]]-Table1[[#This Row],[Predicted Tip]]</f>
        <v>-0.75085491537648652</v>
      </c>
      <c r="F164" s="41">
        <f>Table1[[#This Row],[Error]]^2</f>
        <v>0.56378310394503073</v>
      </c>
    </row>
    <row r="165" spans="1:6" ht="15.5" x14ac:dyDescent="0.35">
      <c r="A165" s="27">
        <v>2</v>
      </c>
      <c r="B165" s="26">
        <v>13.81</v>
      </c>
      <c r="C165" s="26">
        <v>2</v>
      </c>
      <c r="D165" s="39">
        <f>$J$3+($J$4*Table1[[#This Row],[size]])+($J$5*Table1[[#This Row],[total_bill]])</f>
        <v>2.3361788509486678</v>
      </c>
      <c r="E165" s="39">
        <f>Table1[[#This Row],[Actual tip]]-Table1[[#This Row],[Predicted Tip]]</f>
        <v>-0.33617885094866784</v>
      </c>
      <c r="F165" s="41">
        <f>Table1[[#This Row],[Error]]^2</f>
        <v>0.11301621982516663</v>
      </c>
    </row>
    <row r="166" spans="1:6" ht="15.5" x14ac:dyDescent="0.35">
      <c r="A166" s="27">
        <v>2</v>
      </c>
      <c r="B166" s="26">
        <v>17.510000000000002</v>
      </c>
      <c r="C166" s="26">
        <v>3</v>
      </c>
      <c r="D166" s="39">
        <f>$J$3+($J$4*Table1[[#This Row],[size]])+($J$5*Table1[[#This Row],[total_bill]])</f>
        <v>2.6789372130230857</v>
      </c>
      <c r="E166" s="39">
        <f>Table1[[#This Row],[Actual tip]]-Table1[[#This Row],[Predicted Tip]]</f>
        <v>0.32106278697691426</v>
      </c>
      <c r="F166" s="41">
        <f>Table1[[#This Row],[Error]]^2</f>
        <v>0.10308131318138343</v>
      </c>
    </row>
    <row r="167" spans="1:6" ht="15.5" x14ac:dyDescent="0.35">
      <c r="A167" s="27">
        <v>3</v>
      </c>
      <c r="B167" s="26">
        <v>24.52</v>
      </c>
      <c r="C167" s="26">
        <v>3.48</v>
      </c>
      <c r="D167" s="39">
        <f>$J$3+($J$4*Table1[[#This Row],[size]])+($J$5*Table1[[#This Row],[total_bill]])</f>
        <v>3.5206716691165978</v>
      </c>
      <c r="E167" s="39">
        <f>Table1[[#This Row],[Actual tip]]-Table1[[#This Row],[Predicted Tip]]</f>
        <v>-4.0671669116597808E-2</v>
      </c>
      <c r="F167" s="41">
        <f>Table1[[#This Row],[Error]]^2</f>
        <v>1.654184668730016E-3</v>
      </c>
    </row>
    <row r="168" spans="1:6" ht="15.5" x14ac:dyDescent="0.35">
      <c r="A168" s="27">
        <v>2</v>
      </c>
      <c r="B168" s="26">
        <v>20.76</v>
      </c>
      <c r="C168" s="26">
        <v>2.2400000000000002</v>
      </c>
      <c r="D168" s="39">
        <f>$J$3+($J$4*Table1[[#This Row],[size]])+($J$5*Table1[[#This Row],[total_bill]])</f>
        <v>2.9800087472776418</v>
      </c>
      <c r="E168" s="39">
        <f>Table1[[#This Row],[Actual tip]]-Table1[[#This Row],[Predicted Tip]]</f>
        <v>-0.74000874727764154</v>
      </c>
      <c r="F168" s="41">
        <f>Table1[[#This Row],[Error]]^2</f>
        <v>0.54761294604742439</v>
      </c>
    </row>
    <row r="169" spans="1:6" ht="15.5" x14ac:dyDescent="0.35">
      <c r="A169" s="27">
        <v>4</v>
      </c>
      <c r="B169" s="26">
        <v>31.71</v>
      </c>
      <c r="C169" s="26">
        <v>4.5</v>
      </c>
      <c r="D169" s="39">
        <f>$J$3+($J$4*Table1[[#This Row],[size]])+($J$5*Table1[[#This Row],[total_bill]])</f>
        <v>4.3790808563380548</v>
      </c>
      <c r="E169" s="39">
        <f>Table1[[#This Row],[Actual tip]]-Table1[[#This Row],[Predicted Tip]]</f>
        <v>0.12091914366194523</v>
      </c>
      <c r="F169" s="41">
        <f>Table1[[#This Row],[Error]]^2</f>
        <v>1.4621439303938149E-2</v>
      </c>
    </row>
    <row r="170" spans="1:6" ht="15.5" x14ac:dyDescent="0.35">
      <c r="A170" s="27">
        <v>2</v>
      </c>
      <c r="B170" s="26">
        <v>10.59</v>
      </c>
      <c r="C170" s="26">
        <v>1.61</v>
      </c>
      <c r="D170" s="39">
        <f>$J$3+($J$4*Table1[[#This Row],[size]])+($J$5*Table1[[#This Row],[total_bill]])</f>
        <v>2.0378864385487692</v>
      </c>
      <c r="E170" s="39">
        <f>Table1[[#This Row],[Actual tip]]-Table1[[#This Row],[Predicted Tip]]</f>
        <v>-0.42788643854876907</v>
      </c>
      <c r="F170" s="41">
        <f>Table1[[#This Row],[Error]]^2</f>
        <v>0.18308680429394952</v>
      </c>
    </row>
    <row r="171" spans="1:6" ht="15.5" x14ac:dyDescent="0.35">
      <c r="A171" s="27">
        <v>2</v>
      </c>
      <c r="B171" s="26">
        <v>10.63</v>
      </c>
      <c r="C171" s="26">
        <v>2</v>
      </c>
      <c r="D171" s="39">
        <f>$J$3+($J$4*Table1[[#This Row],[size]])+($J$5*Table1[[#This Row],[total_bill]])</f>
        <v>2.0415919343549791</v>
      </c>
      <c r="E171" s="39">
        <f>Table1[[#This Row],[Actual tip]]-Table1[[#This Row],[Predicted Tip]]</f>
        <v>-4.1591934354979099E-2</v>
      </c>
      <c r="F171" s="41">
        <f>Table1[[#This Row],[Error]]^2</f>
        <v>1.7298890033888906E-3</v>
      </c>
    </row>
    <row r="172" spans="1:6" ht="15.5" x14ac:dyDescent="0.35">
      <c r="A172" s="27">
        <v>3</v>
      </c>
      <c r="B172" s="26">
        <v>50.81</v>
      </c>
      <c r="C172" s="26">
        <v>10</v>
      </c>
      <c r="D172" s="39">
        <f>$J$3+($J$4*Table1[[#This Row],[size]])+($J$5*Table1[[#This Row],[total_bill]])</f>
        <v>5.956108787748069</v>
      </c>
      <c r="E172" s="39">
        <f>Table1[[#This Row],[Actual tip]]-Table1[[#This Row],[Predicted Tip]]</f>
        <v>4.043891212251931</v>
      </c>
      <c r="F172" s="41">
        <f>Table1[[#This Row],[Error]]^2</f>
        <v>16.353056136528391</v>
      </c>
    </row>
    <row r="173" spans="1:6" ht="15.5" x14ac:dyDescent="0.35">
      <c r="A173" s="27">
        <v>2</v>
      </c>
      <c r="B173" s="26">
        <v>15.81</v>
      </c>
      <c r="C173" s="26">
        <v>3.16</v>
      </c>
      <c r="D173" s="39">
        <f>$J$3+($J$4*Table1[[#This Row],[size]])+($J$5*Table1[[#This Row],[total_bill]])</f>
        <v>2.5214536412591642</v>
      </c>
      <c r="E173" s="39">
        <f>Table1[[#This Row],[Actual tip]]-Table1[[#This Row],[Predicted Tip]]</f>
        <v>0.63854635874083598</v>
      </c>
      <c r="F173" s="41">
        <f>Table1[[#This Row],[Error]]^2</f>
        <v>0.40774145226118041</v>
      </c>
    </row>
    <row r="174" spans="1:6" ht="15.5" x14ac:dyDescent="0.35">
      <c r="A174" s="27">
        <v>2</v>
      </c>
      <c r="B174" s="26">
        <v>7.25</v>
      </c>
      <c r="C174" s="26">
        <v>5.15</v>
      </c>
      <c r="D174" s="39">
        <f>$J$3+($J$4*Table1[[#This Row],[size]])+($J$5*Table1[[#This Row],[total_bill]])</f>
        <v>1.7284775387302407</v>
      </c>
      <c r="E174" s="39">
        <f>Table1[[#This Row],[Actual tip]]-Table1[[#This Row],[Predicted Tip]]</f>
        <v>3.4215224612697597</v>
      </c>
      <c r="F174" s="41">
        <f>Table1[[#This Row],[Error]]^2</f>
        <v>11.706815952973473</v>
      </c>
    </row>
    <row r="175" spans="1:6" ht="15.5" x14ac:dyDescent="0.35">
      <c r="A175" s="27">
        <v>2</v>
      </c>
      <c r="B175" s="26">
        <v>31.85</v>
      </c>
      <c r="C175" s="26">
        <v>3.18</v>
      </c>
      <c r="D175" s="39">
        <f>$J$3+($J$4*Table1[[#This Row],[size]])+($J$5*Table1[[#This Row],[total_bill]])</f>
        <v>4.0073574595493424</v>
      </c>
      <c r="E175" s="39">
        <f>Table1[[#This Row],[Actual tip]]-Table1[[#This Row],[Predicted Tip]]</f>
        <v>-0.82735745954934226</v>
      </c>
      <c r="F175" s="41">
        <f>Table1[[#This Row],[Error]]^2</f>
        <v>0.68452036587194154</v>
      </c>
    </row>
    <row r="176" spans="1:6" ht="15.5" x14ac:dyDescent="0.35">
      <c r="A176" s="27">
        <v>2</v>
      </c>
      <c r="B176" s="26">
        <v>16.82</v>
      </c>
      <c r="C176" s="26">
        <v>4</v>
      </c>
      <c r="D176" s="39">
        <f>$J$3+($J$4*Table1[[#This Row],[size]])+($J$5*Table1[[#This Row],[total_bill]])</f>
        <v>2.6150174103659642</v>
      </c>
      <c r="E176" s="39">
        <f>Table1[[#This Row],[Actual tip]]-Table1[[#This Row],[Predicted Tip]]</f>
        <v>1.3849825896340358</v>
      </c>
      <c r="F176" s="41">
        <f>Table1[[#This Row],[Error]]^2</f>
        <v>1.9181767735894</v>
      </c>
    </row>
    <row r="177" spans="1:6" ht="15.5" x14ac:dyDescent="0.35">
      <c r="A177" s="27">
        <v>2</v>
      </c>
      <c r="B177" s="26">
        <v>32.9</v>
      </c>
      <c r="C177" s="26">
        <v>3.11</v>
      </c>
      <c r="D177" s="39">
        <f>$J$3+($J$4*Table1[[#This Row],[size]])+($J$5*Table1[[#This Row],[total_bill]])</f>
        <v>4.1046267244623529</v>
      </c>
      <c r="E177" s="39">
        <f>Table1[[#This Row],[Actual tip]]-Table1[[#This Row],[Predicted Tip]]</f>
        <v>-0.99462672446235301</v>
      </c>
      <c r="F177" s="41">
        <f>Table1[[#This Row],[Error]]^2</f>
        <v>0.98928232101470948</v>
      </c>
    </row>
    <row r="178" spans="1:6" ht="15.5" x14ac:dyDescent="0.35">
      <c r="A178" s="27">
        <v>2</v>
      </c>
      <c r="B178" s="26">
        <v>17.89</v>
      </c>
      <c r="C178" s="26">
        <v>2</v>
      </c>
      <c r="D178" s="39">
        <f>$J$3+($J$4*Table1[[#This Row],[size]])+($J$5*Table1[[#This Row],[total_bill]])</f>
        <v>2.7141394231820799</v>
      </c>
      <c r="E178" s="39">
        <f>Table1[[#This Row],[Actual tip]]-Table1[[#This Row],[Predicted Tip]]</f>
        <v>-0.7141394231820799</v>
      </c>
      <c r="F178" s="41">
        <f>Table1[[#This Row],[Error]]^2</f>
        <v>0.50999511574283385</v>
      </c>
    </row>
    <row r="179" spans="1:6" ht="15.5" x14ac:dyDescent="0.35">
      <c r="A179" s="27">
        <v>2</v>
      </c>
      <c r="B179" s="26">
        <v>14.48</v>
      </c>
      <c r="C179" s="26">
        <v>2</v>
      </c>
      <c r="D179" s="39">
        <f>$J$3+($J$4*Table1[[#This Row],[size]])+($J$5*Table1[[#This Row],[total_bill]])</f>
        <v>2.3982459057026841</v>
      </c>
      <c r="E179" s="39">
        <f>Table1[[#This Row],[Actual tip]]-Table1[[#This Row],[Predicted Tip]]</f>
        <v>-0.39824590570268414</v>
      </c>
      <c r="F179" s="41">
        <f>Table1[[#This Row],[Error]]^2</f>
        <v>0.15859980140895119</v>
      </c>
    </row>
    <row r="180" spans="1:6" ht="15.5" x14ac:dyDescent="0.35">
      <c r="A180" s="27">
        <v>2</v>
      </c>
      <c r="B180" s="26">
        <v>9.6</v>
      </c>
      <c r="C180" s="26">
        <v>4</v>
      </c>
      <c r="D180" s="39">
        <f>$J$3+($J$4*Table1[[#This Row],[size]])+($J$5*Table1[[#This Row],[total_bill]])</f>
        <v>1.9461754173450736</v>
      </c>
      <c r="E180" s="39">
        <f>Table1[[#This Row],[Actual tip]]-Table1[[#This Row],[Predicted Tip]]</f>
        <v>2.0538245826549266</v>
      </c>
      <c r="F180" s="41">
        <f>Table1[[#This Row],[Error]]^2</f>
        <v>4.2181954163176831</v>
      </c>
    </row>
    <row r="181" spans="1:6" ht="15.5" x14ac:dyDescent="0.35">
      <c r="A181" s="27">
        <v>2</v>
      </c>
      <c r="B181" s="26">
        <v>34.630000000000003</v>
      </c>
      <c r="C181" s="26">
        <v>3.55</v>
      </c>
      <c r="D181" s="39">
        <f>$J$3+($J$4*Table1[[#This Row],[size]])+($J$5*Table1[[#This Row],[total_bill]])</f>
        <v>4.2648894180809318</v>
      </c>
      <c r="E181" s="39">
        <f>Table1[[#This Row],[Actual tip]]-Table1[[#This Row],[Predicted Tip]]</f>
        <v>-0.71488941808093198</v>
      </c>
      <c r="F181" s="41">
        <f>Table1[[#This Row],[Error]]^2</f>
        <v>0.51106688008409351</v>
      </c>
    </row>
    <row r="182" spans="1:6" ht="15.5" x14ac:dyDescent="0.35">
      <c r="A182" s="27">
        <v>4</v>
      </c>
      <c r="B182" s="26">
        <v>34.65</v>
      </c>
      <c r="C182" s="26">
        <v>3.68</v>
      </c>
      <c r="D182" s="39">
        <f>$J$3+($J$4*Table1[[#This Row],[size]])+($J$5*Table1[[#This Row],[total_bill]])</f>
        <v>4.651434798094483</v>
      </c>
      <c r="E182" s="39">
        <f>Table1[[#This Row],[Actual tip]]-Table1[[#This Row],[Predicted Tip]]</f>
        <v>-0.97143479809448285</v>
      </c>
      <c r="F182" s="41">
        <f>Table1[[#This Row],[Error]]^2</f>
        <v>0.94368556694886863</v>
      </c>
    </row>
    <row r="183" spans="1:6" ht="15.5" x14ac:dyDescent="0.35">
      <c r="A183" s="27">
        <v>2</v>
      </c>
      <c r="B183" s="26">
        <v>23.33</v>
      </c>
      <c r="C183" s="26">
        <v>5.65</v>
      </c>
      <c r="D183" s="39">
        <f>$J$3+($J$4*Table1[[#This Row],[size]])+($J$5*Table1[[#This Row],[total_bill]])</f>
        <v>3.2180868528266289</v>
      </c>
      <c r="E183" s="39">
        <f>Table1[[#This Row],[Actual tip]]-Table1[[#This Row],[Predicted Tip]]</f>
        <v>2.4319131471733715</v>
      </c>
      <c r="F183" s="41">
        <f>Table1[[#This Row],[Error]]^2</f>
        <v>5.9142015553946923</v>
      </c>
    </row>
    <row r="184" spans="1:6" ht="15.5" x14ac:dyDescent="0.35">
      <c r="A184" s="27">
        <v>3</v>
      </c>
      <c r="B184" s="26">
        <v>45.35</v>
      </c>
      <c r="C184" s="26">
        <v>3.5</v>
      </c>
      <c r="D184" s="39">
        <f>$J$3+($J$4*Table1[[#This Row],[size]])+($J$5*Table1[[#This Row],[total_bill]])</f>
        <v>5.4503086102004143</v>
      </c>
      <c r="E184" s="39">
        <f>Table1[[#This Row],[Actual tip]]-Table1[[#This Row],[Predicted Tip]]</f>
        <v>-1.9503086102004143</v>
      </c>
      <c r="F184" s="41">
        <f>Table1[[#This Row],[Error]]^2</f>
        <v>3.8037036750218718</v>
      </c>
    </row>
    <row r="185" spans="1:6" ht="15.5" x14ac:dyDescent="0.35">
      <c r="A185" s="27">
        <v>4</v>
      </c>
      <c r="B185" s="26">
        <v>23.17</v>
      </c>
      <c r="C185" s="26">
        <v>6.5</v>
      </c>
      <c r="D185" s="39">
        <f>$J$3+($J$4*Table1[[#This Row],[size]])+($J$5*Table1[[#This Row],[total_bill]])</f>
        <v>3.587957501712236</v>
      </c>
      <c r="E185" s="39">
        <f>Table1[[#This Row],[Actual tip]]-Table1[[#This Row],[Predicted Tip]]</f>
        <v>2.912042498287764</v>
      </c>
      <c r="F185" s="41">
        <f>Table1[[#This Row],[Error]]^2</f>
        <v>8.4799915118340419</v>
      </c>
    </row>
    <row r="186" spans="1:6" ht="15.5" x14ac:dyDescent="0.35">
      <c r="A186" s="27">
        <v>2</v>
      </c>
      <c r="B186" s="26">
        <v>40.549999999999997</v>
      </c>
      <c r="C186" s="26">
        <v>3</v>
      </c>
      <c r="D186" s="39">
        <f>$J$3+($J$4*Table1[[#This Row],[size]])+($J$5*Table1[[#This Row],[total_bill]])</f>
        <v>4.8133027974000004</v>
      </c>
      <c r="E186" s="39">
        <f>Table1[[#This Row],[Actual tip]]-Table1[[#This Row],[Predicted Tip]]</f>
        <v>-1.8133027974000004</v>
      </c>
      <c r="F186" s="41">
        <f>Table1[[#This Row],[Error]]^2</f>
        <v>3.2880670350586669</v>
      </c>
    </row>
    <row r="187" spans="1:6" ht="15.5" x14ac:dyDescent="0.35">
      <c r="A187" s="27">
        <v>5</v>
      </c>
      <c r="B187" s="26">
        <v>20.69</v>
      </c>
      <c r="C187" s="26">
        <v>5</v>
      </c>
      <c r="D187" s="39">
        <f>$J$3+($J$4*Table1[[#This Row],[size]])+($J$5*Table1[[#This Row],[total_bill]])</f>
        <v>3.5505630777824444</v>
      </c>
      <c r="E187" s="39">
        <f>Table1[[#This Row],[Actual tip]]-Table1[[#This Row],[Predicted Tip]]</f>
        <v>1.4494369222175556</v>
      </c>
      <c r="F187" s="41">
        <f>Table1[[#This Row],[Error]]^2</f>
        <v>2.1008673914875002</v>
      </c>
    </row>
    <row r="188" spans="1:6" ht="15.5" x14ac:dyDescent="0.35">
      <c r="A188" s="27">
        <v>3</v>
      </c>
      <c r="B188" s="26">
        <v>20.9</v>
      </c>
      <c r="C188" s="26">
        <v>3.5</v>
      </c>
      <c r="D188" s="39">
        <f>$J$3+($J$4*Table1[[#This Row],[size]])+($J$5*Table1[[#This Row],[total_bill]])</f>
        <v>3.1853242986545993</v>
      </c>
      <c r="E188" s="39">
        <f>Table1[[#This Row],[Actual tip]]-Table1[[#This Row],[Predicted Tip]]</f>
        <v>0.31467570134540068</v>
      </c>
      <c r="F188" s="41">
        <f>Table1[[#This Row],[Error]]^2</f>
        <v>9.9020797017219803E-2</v>
      </c>
    </row>
    <row r="189" spans="1:6" ht="15.5" x14ac:dyDescent="0.35">
      <c r="A189" s="27">
        <v>5</v>
      </c>
      <c r="B189" s="26">
        <v>30.46</v>
      </c>
      <c r="C189" s="26">
        <v>2</v>
      </c>
      <c r="D189" s="39">
        <f>$J$3+($J$4*Table1[[#This Row],[size]])+($J$5*Table1[[#This Row],[total_bill]])</f>
        <v>4.4556304284492176</v>
      </c>
      <c r="E189" s="39">
        <f>Table1[[#This Row],[Actual tip]]-Table1[[#This Row],[Predicted Tip]]</f>
        <v>-2.4556304284492176</v>
      </c>
      <c r="F189" s="41">
        <f>Table1[[#This Row],[Error]]^2</f>
        <v>6.0301208011256886</v>
      </c>
    </row>
    <row r="190" spans="1:6" ht="15.5" x14ac:dyDescent="0.35">
      <c r="A190" s="27">
        <v>3</v>
      </c>
      <c r="B190" s="26">
        <v>18.149999999999999</v>
      </c>
      <c r="C190" s="26">
        <v>3.5</v>
      </c>
      <c r="D190" s="39">
        <f>$J$3+($J$4*Table1[[#This Row],[size]])+($J$5*Table1[[#This Row],[total_bill]])</f>
        <v>2.9305714619776673</v>
      </c>
      <c r="E190" s="39">
        <f>Table1[[#This Row],[Actual tip]]-Table1[[#This Row],[Predicted Tip]]</f>
        <v>0.56942853802233273</v>
      </c>
      <c r="F190" s="41">
        <f>Table1[[#This Row],[Error]]^2</f>
        <v>0.32424885991425123</v>
      </c>
    </row>
    <row r="191" spans="1:6" ht="15.5" x14ac:dyDescent="0.35">
      <c r="A191" s="27">
        <v>3</v>
      </c>
      <c r="B191" s="26">
        <v>23.1</v>
      </c>
      <c r="C191" s="26">
        <v>4</v>
      </c>
      <c r="D191" s="39">
        <f>$J$3+($J$4*Table1[[#This Row],[size]])+($J$5*Table1[[#This Row],[total_bill]])</f>
        <v>3.3891265679961453</v>
      </c>
      <c r="E191" s="39">
        <f>Table1[[#This Row],[Actual tip]]-Table1[[#This Row],[Predicted Tip]]</f>
        <v>0.61087343200385469</v>
      </c>
      <c r="F191" s="41">
        <f>Table1[[#This Row],[Error]]^2</f>
        <v>0.37316634992816805</v>
      </c>
    </row>
    <row r="192" spans="1:6" ht="15.5" x14ac:dyDescent="0.35">
      <c r="A192" s="27">
        <v>2</v>
      </c>
      <c r="B192" s="26">
        <v>15.69</v>
      </c>
      <c r="C192" s="26">
        <v>1.5</v>
      </c>
      <c r="D192" s="39">
        <f>$J$3+($J$4*Table1[[#This Row],[size]])+($J$5*Table1[[#This Row],[total_bill]])</f>
        <v>2.5103371538405339</v>
      </c>
      <c r="E192" s="39">
        <f>Table1[[#This Row],[Actual tip]]-Table1[[#This Row],[Predicted Tip]]</f>
        <v>-1.0103371538405339</v>
      </c>
      <c r="F192" s="41">
        <f>Table1[[#This Row],[Error]]^2</f>
        <v>1.0207811644305906</v>
      </c>
    </row>
    <row r="193" spans="1:6" ht="15.5" x14ac:dyDescent="0.35">
      <c r="A193" s="27">
        <v>2</v>
      </c>
      <c r="B193" s="26">
        <v>19.809999999999999</v>
      </c>
      <c r="C193" s="26">
        <v>4.1900000000000004</v>
      </c>
      <c r="D193" s="39">
        <f>$J$3+($J$4*Table1[[#This Row],[size]])+($J$5*Table1[[#This Row],[total_bill]])</f>
        <v>2.8920032218801559</v>
      </c>
      <c r="E193" s="39">
        <f>Table1[[#This Row],[Actual tip]]-Table1[[#This Row],[Predicted Tip]]</f>
        <v>1.2979967781198445</v>
      </c>
      <c r="F193" s="41">
        <f>Table1[[#This Row],[Error]]^2</f>
        <v>1.6847956360094969</v>
      </c>
    </row>
    <row r="194" spans="1:6" ht="15.5" x14ac:dyDescent="0.35">
      <c r="A194" s="27">
        <v>2</v>
      </c>
      <c r="B194" s="26">
        <v>28.44</v>
      </c>
      <c r="C194" s="26">
        <v>2.56</v>
      </c>
      <c r="D194" s="39">
        <f>$J$3+($J$4*Table1[[#This Row],[size]])+($J$5*Table1[[#This Row],[total_bill]])</f>
        <v>3.6914639420699467</v>
      </c>
      <c r="E194" s="39">
        <f>Table1[[#This Row],[Actual tip]]-Table1[[#This Row],[Predicted Tip]]</f>
        <v>-1.1314639420699466</v>
      </c>
      <c r="F194" s="41">
        <f>Table1[[#This Row],[Error]]^2</f>
        <v>1.2802106522044634</v>
      </c>
    </row>
    <row r="195" spans="1:6" ht="15.5" x14ac:dyDescent="0.35">
      <c r="A195" s="27">
        <v>2</v>
      </c>
      <c r="B195" s="26">
        <v>15.48</v>
      </c>
      <c r="C195" s="26">
        <v>2.02</v>
      </c>
      <c r="D195" s="39">
        <f>$J$3+($J$4*Table1[[#This Row],[size]])+($J$5*Table1[[#This Row],[total_bill]])</f>
        <v>2.4908833008579321</v>
      </c>
      <c r="E195" s="39">
        <f>Table1[[#This Row],[Actual tip]]-Table1[[#This Row],[Predicted Tip]]</f>
        <v>-0.47088330085793206</v>
      </c>
      <c r="F195" s="41">
        <f>Table1[[#This Row],[Error]]^2</f>
        <v>0.22173108302686176</v>
      </c>
    </row>
    <row r="196" spans="1:6" ht="15.5" x14ac:dyDescent="0.35">
      <c r="A196" s="27">
        <v>2</v>
      </c>
      <c r="B196" s="26">
        <v>16.579999999999998</v>
      </c>
      <c r="C196" s="26">
        <v>4</v>
      </c>
      <c r="D196" s="39">
        <f>$J$3+($J$4*Table1[[#This Row],[size]])+($J$5*Table1[[#This Row],[total_bill]])</f>
        <v>2.5927844355287046</v>
      </c>
      <c r="E196" s="39">
        <f>Table1[[#This Row],[Actual tip]]-Table1[[#This Row],[Predicted Tip]]</f>
        <v>1.4072155644712954</v>
      </c>
      <c r="F196" s="41">
        <f>Table1[[#This Row],[Error]]^2</f>
        <v>1.9802556448902664</v>
      </c>
    </row>
    <row r="197" spans="1:6" ht="15.5" x14ac:dyDescent="0.35">
      <c r="A197" s="27">
        <v>2</v>
      </c>
      <c r="B197" s="26">
        <v>7.56</v>
      </c>
      <c r="C197" s="26">
        <v>1.44</v>
      </c>
      <c r="D197" s="39">
        <f>$J$3+($J$4*Table1[[#This Row],[size]])+($J$5*Table1[[#This Row],[total_bill]])</f>
        <v>1.7571951312283676</v>
      </c>
      <c r="E197" s="39">
        <f>Table1[[#This Row],[Actual tip]]-Table1[[#This Row],[Predicted Tip]]</f>
        <v>-0.31719513122836762</v>
      </c>
      <c r="F197" s="41">
        <f>Table1[[#This Row],[Error]]^2</f>
        <v>0.10061275127498136</v>
      </c>
    </row>
    <row r="198" spans="1:6" ht="15.5" x14ac:dyDescent="0.35">
      <c r="A198" s="27">
        <v>2</v>
      </c>
      <c r="B198" s="26">
        <v>10.34</v>
      </c>
      <c r="C198" s="26">
        <v>2</v>
      </c>
      <c r="D198" s="39">
        <f>$J$3+($J$4*Table1[[#This Row],[size]])+($J$5*Table1[[#This Row],[total_bill]])</f>
        <v>2.0147270897599574</v>
      </c>
      <c r="E198" s="39">
        <f>Table1[[#This Row],[Actual tip]]-Table1[[#This Row],[Predicted Tip]]</f>
        <v>-1.4727089759957401E-2</v>
      </c>
      <c r="F198" s="41">
        <f>Table1[[#This Row],[Error]]^2</f>
        <v>2.1688717279784214E-4</v>
      </c>
    </row>
    <row r="199" spans="1:6" ht="15.5" x14ac:dyDescent="0.35">
      <c r="A199" s="27">
        <v>4</v>
      </c>
      <c r="B199" s="26">
        <v>43.11</v>
      </c>
      <c r="C199" s="26">
        <v>5</v>
      </c>
      <c r="D199" s="39">
        <f>$J$3+($J$4*Table1[[#This Row],[size]])+($J$5*Table1[[#This Row],[total_bill]])</f>
        <v>5.4351471611078814</v>
      </c>
      <c r="E199" s="39">
        <f>Table1[[#This Row],[Actual tip]]-Table1[[#This Row],[Predicted Tip]]</f>
        <v>-0.43514716110788143</v>
      </c>
      <c r="F199" s="41">
        <f>Table1[[#This Row],[Error]]^2</f>
        <v>0.18935305182024853</v>
      </c>
    </row>
    <row r="200" spans="1:6" ht="15.5" x14ac:dyDescent="0.35">
      <c r="A200" s="27">
        <v>2</v>
      </c>
      <c r="B200" s="26">
        <v>13</v>
      </c>
      <c r="C200" s="26">
        <v>2</v>
      </c>
      <c r="D200" s="39">
        <f>$J$3+($J$4*Table1[[#This Row],[size]])+($J$5*Table1[[#This Row],[total_bill]])</f>
        <v>2.261142560872917</v>
      </c>
      <c r="E200" s="39">
        <f>Table1[[#This Row],[Actual tip]]-Table1[[#This Row],[Predicted Tip]]</f>
        <v>-0.26114256087291698</v>
      </c>
      <c r="F200" s="41">
        <f>Table1[[#This Row],[Error]]^2</f>
        <v>6.8195437099265149E-2</v>
      </c>
    </row>
    <row r="201" spans="1:6" ht="15.5" x14ac:dyDescent="0.35">
      <c r="A201" s="27">
        <v>2</v>
      </c>
      <c r="B201" s="26">
        <v>13.51</v>
      </c>
      <c r="C201" s="26">
        <v>2</v>
      </c>
      <c r="D201" s="39">
        <f>$J$3+($J$4*Table1[[#This Row],[size]])+($J$5*Table1[[#This Row],[total_bill]])</f>
        <v>2.3083876324020931</v>
      </c>
      <c r="E201" s="39">
        <f>Table1[[#This Row],[Actual tip]]-Table1[[#This Row],[Predicted Tip]]</f>
        <v>-0.3083876324020931</v>
      </c>
      <c r="F201" s="41">
        <f>Table1[[#This Row],[Error]]^2</f>
        <v>9.5102931818568506E-2</v>
      </c>
    </row>
    <row r="202" spans="1:6" ht="15.5" x14ac:dyDescent="0.35">
      <c r="A202" s="27">
        <v>3</v>
      </c>
      <c r="B202" s="26">
        <v>18.71</v>
      </c>
      <c r="C202" s="26">
        <v>4</v>
      </c>
      <c r="D202" s="39">
        <f>$J$3+($J$4*Table1[[#This Row],[size]])+($J$5*Table1[[#This Row],[total_bill]])</f>
        <v>2.9824484032646064</v>
      </c>
      <c r="E202" s="39">
        <f>Table1[[#This Row],[Actual tip]]-Table1[[#This Row],[Predicted Tip]]</f>
        <v>1.0175515967353936</v>
      </c>
      <c r="F202" s="41">
        <f>Table1[[#This Row],[Error]]^2</f>
        <v>1.0354112520187491</v>
      </c>
    </row>
    <row r="203" spans="1:6" ht="15.5" x14ac:dyDescent="0.35">
      <c r="A203" s="27">
        <v>2</v>
      </c>
      <c r="B203" s="26">
        <v>12.74</v>
      </c>
      <c r="C203" s="26">
        <v>2.0099999999999998</v>
      </c>
      <c r="D203" s="39">
        <f>$J$3+($J$4*Table1[[#This Row],[size]])+($J$5*Table1[[#This Row],[total_bill]])</f>
        <v>2.2370568381325526</v>
      </c>
      <c r="E203" s="39">
        <f>Table1[[#This Row],[Actual tip]]-Table1[[#This Row],[Predicted Tip]]</f>
        <v>-0.22705683813255284</v>
      </c>
      <c r="F203" s="41">
        <f>Table1[[#This Row],[Error]]^2</f>
        <v>5.1554807742752305E-2</v>
      </c>
    </row>
    <row r="204" spans="1:6" ht="15.5" x14ac:dyDescent="0.35">
      <c r="A204" s="27">
        <v>2</v>
      </c>
      <c r="B204" s="26">
        <v>16.399999999999999</v>
      </c>
      <c r="C204" s="26">
        <v>2.5</v>
      </c>
      <c r="D204" s="39">
        <f>$J$3+($J$4*Table1[[#This Row],[size]])+($J$5*Table1[[#This Row],[total_bill]])</f>
        <v>2.5761097044007601</v>
      </c>
      <c r="E204" s="39">
        <f>Table1[[#This Row],[Actual tip]]-Table1[[#This Row],[Predicted Tip]]</f>
        <v>-7.6109704400760148E-2</v>
      </c>
      <c r="F204" s="41">
        <f>Table1[[#This Row],[Error]]^2</f>
        <v>5.7926871039710882E-3</v>
      </c>
    </row>
    <row r="205" spans="1:6" ht="15.5" x14ac:dyDescent="0.35">
      <c r="A205" s="27">
        <v>4</v>
      </c>
      <c r="B205" s="26">
        <v>20.53</v>
      </c>
      <c r="C205" s="26">
        <v>4</v>
      </c>
      <c r="D205" s="39">
        <f>$J$3+($J$4*Table1[[#This Row],[size]])+($J$5*Table1[[#This Row],[total_bill]])</f>
        <v>3.3433947785023812</v>
      </c>
      <c r="E205" s="39">
        <f>Table1[[#This Row],[Actual tip]]-Table1[[#This Row],[Predicted Tip]]</f>
        <v>0.6566052214976188</v>
      </c>
      <c r="F205" s="41">
        <f>Table1[[#This Row],[Error]]^2</f>
        <v>0.43113041689793702</v>
      </c>
    </row>
    <row r="206" spans="1:6" ht="15.5" x14ac:dyDescent="0.35">
      <c r="A206" s="27">
        <v>3</v>
      </c>
      <c r="B206" s="26">
        <v>16.47</v>
      </c>
      <c r="C206" s="26">
        <v>3.23</v>
      </c>
      <c r="D206" s="39">
        <f>$J$3+($J$4*Table1[[#This Row],[size]])+($J$5*Table1[[#This Row],[total_bill]])</f>
        <v>2.7749406381168509</v>
      </c>
      <c r="E206" s="39">
        <f>Table1[[#This Row],[Actual tip]]-Table1[[#This Row],[Predicted Tip]]</f>
        <v>0.4550593618831491</v>
      </c>
      <c r="F206" s="41">
        <f>Table1[[#This Row],[Error]]^2</f>
        <v>0.20707902283749885</v>
      </c>
    </row>
    <row r="207" spans="1:6" ht="15.5" x14ac:dyDescent="0.35">
      <c r="A207" s="27">
        <v>3</v>
      </c>
      <c r="B207" s="26">
        <v>26.59</v>
      </c>
      <c r="C207" s="26">
        <v>3.41</v>
      </c>
      <c r="D207" s="39">
        <f>$J$3+($J$4*Table1[[#This Row],[size]])+($J$5*Table1[[#This Row],[total_bill]])</f>
        <v>3.7124310770879605</v>
      </c>
      <c r="E207" s="39">
        <f>Table1[[#This Row],[Actual tip]]-Table1[[#This Row],[Predicted Tip]]</f>
        <v>-0.30243107708796035</v>
      </c>
      <c r="F207" s="41">
        <f>Table1[[#This Row],[Error]]^2</f>
        <v>9.146455638858382E-2</v>
      </c>
    </row>
    <row r="208" spans="1:6" ht="15.5" x14ac:dyDescent="0.35">
      <c r="A208" s="27">
        <v>4</v>
      </c>
      <c r="B208" s="26">
        <v>38.729999999999997</v>
      </c>
      <c r="C208" s="26">
        <v>3</v>
      </c>
      <c r="D208" s="39">
        <f>$J$3+($J$4*Table1[[#This Row],[size]])+($J$5*Table1[[#This Row],[total_bill]])</f>
        <v>5.0293953703278955</v>
      </c>
      <c r="E208" s="39">
        <f>Table1[[#This Row],[Actual tip]]-Table1[[#This Row],[Predicted Tip]]</f>
        <v>-2.0293953703278955</v>
      </c>
      <c r="F208" s="41">
        <f>Table1[[#This Row],[Error]]^2</f>
        <v>4.118445569108296</v>
      </c>
    </row>
    <row r="209" spans="1:6" ht="15.5" x14ac:dyDescent="0.35">
      <c r="A209" s="27">
        <v>2</v>
      </c>
      <c r="B209" s="26">
        <v>24.27</v>
      </c>
      <c r="C209" s="26">
        <v>2.0299999999999998</v>
      </c>
      <c r="D209" s="39">
        <f>$J$3+($J$4*Table1[[#This Row],[size]])+($J$5*Table1[[#This Row],[total_bill]])</f>
        <v>3.3051660042725621</v>
      </c>
      <c r="E209" s="39">
        <f>Table1[[#This Row],[Actual tip]]-Table1[[#This Row],[Predicted Tip]]</f>
        <v>-1.2751660042725623</v>
      </c>
      <c r="F209" s="41">
        <f>Table1[[#This Row],[Error]]^2</f>
        <v>1.6260483384524524</v>
      </c>
    </row>
    <row r="210" spans="1:6" ht="15.5" x14ac:dyDescent="0.35">
      <c r="A210" s="27">
        <v>2</v>
      </c>
      <c r="B210" s="26">
        <v>12.76</v>
      </c>
      <c r="C210" s="26">
        <v>2.23</v>
      </c>
      <c r="D210" s="39">
        <f>$J$3+($J$4*Table1[[#This Row],[size]])+($J$5*Table1[[#This Row],[total_bill]])</f>
        <v>2.2389095860356574</v>
      </c>
      <c r="E210" s="39">
        <f>Table1[[#This Row],[Actual tip]]-Table1[[#This Row],[Predicted Tip]]</f>
        <v>-8.9095860356573908E-3</v>
      </c>
      <c r="F210" s="41">
        <f>Table1[[#This Row],[Error]]^2</f>
        <v>7.9380723326781178E-5</v>
      </c>
    </row>
    <row r="211" spans="1:6" ht="15.5" x14ac:dyDescent="0.35">
      <c r="A211" s="27">
        <v>3</v>
      </c>
      <c r="B211" s="26">
        <v>30.06</v>
      </c>
      <c r="C211" s="26">
        <v>2</v>
      </c>
      <c r="D211" s="39">
        <f>$J$3+($J$4*Table1[[#This Row],[size]])+($J$5*Table1[[#This Row],[total_bill]])</f>
        <v>4.0338828382766714</v>
      </c>
      <c r="E211" s="39">
        <f>Table1[[#This Row],[Actual tip]]-Table1[[#This Row],[Predicted Tip]]</f>
        <v>-2.0338828382766714</v>
      </c>
      <c r="F211" s="41">
        <f>Table1[[#This Row],[Error]]^2</f>
        <v>4.1366793998363685</v>
      </c>
    </row>
    <row r="212" spans="1:6" ht="15.5" x14ac:dyDescent="0.35">
      <c r="A212" s="27">
        <v>4</v>
      </c>
      <c r="B212" s="26">
        <v>25.89</v>
      </c>
      <c r="C212" s="26">
        <v>5.16</v>
      </c>
      <c r="D212" s="39">
        <f>$J$3+($J$4*Table1[[#This Row],[size]])+($J$5*Table1[[#This Row],[total_bill]])</f>
        <v>3.8399312165345107</v>
      </c>
      <c r="E212" s="39">
        <f>Table1[[#This Row],[Actual tip]]-Table1[[#This Row],[Predicted Tip]]</f>
        <v>1.3200687834654894</v>
      </c>
      <c r="F212" s="41">
        <f>Table1[[#This Row],[Error]]^2</f>
        <v>1.7425815930800572</v>
      </c>
    </row>
    <row r="213" spans="1:6" ht="15.5" x14ac:dyDescent="0.35">
      <c r="A213" s="27">
        <v>4</v>
      </c>
      <c r="B213" s="26">
        <v>48.33</v>
      </c>
      <c r="C213" s="26">
        <v>9</v>
      </c>
      <c r="D213" s="39">
        <f>$J$3+($J$4*Table1[[#This Row],[size]])+($J$5*Table1[[#This Row],[total_bill]])</f>
        <v>5.9187143638182764</v>
      </c>
      <c r="E213" s="39">
        <f>Table1[[#This Row],[Actual tip]]-Table1[[#This Row],[Predicted Tip]]</f>
        <v>3.0812856361817236</v>
      </c>
      <c r="F213" s="41">
        <f>Table1[[#This Row],[Error]]^2</f>
        <v>9.4943211717398093</v>
      </c>
    </row>
    <row r="214" spans="1:6" ht="15.5" x14ac:dyDescent="0.35">
      <c r="A214" s="27">
        <v>2</v>
      </c>
      <c r="B214" s="26">
        <v>13.27</v>
      </c>
      <c r="C214" s="26">
        <v>2.5</v>
      </c>
      <c r="D214" s="39">
        <f>$J$3+($J$4*Table1[[#This Row],[size]])+($J$5*Table1[[#This Row],[total_bill]])</f>
        <v>2.2861546575648339</v>
      </c>
      <c r="E214" s="39">
        <f>Table1[[#This Row],[Actual tip]]-Table1[[#This Row],[Predicted Tip]]</f>
        <v>0.21384534243516606</v>
      </c>
      <c r="F214" s="41">
        <f>Table1[[#This Row],[Error]]^2</f>
        <v>4.5729830481213436E-2</v>
      </c>
    </row>
    <row r="215" spans="1:6" ht="15.5" x14ac:dyDescent="0.35">
      <c r="A215" s="27">
        <v>3</v>
      </c>
      <c r="B215" s="26">
        <v>28.17</v>
      </c>
      <c r="C215" s="26">
        <v>6.5</v>
      </c>
      <c r="D215" s="39">
        <f>$J$3+($J$4*Table1[[#This Row],[size]])+($J$5*Table1[[#This Row],[total_bill]])</f>
        <v>3.8587981614332527</v>
      </c>
      <c r="E215" s="39">
        <f>Table1[[#This Row],[Actual tip]]-Table1[[#This Row],[Predicted Tip]]</f>
        <v>2.6412018385667473</v>
      </c>
      <c r="F215" s="41">
        <f>Table1[[#This Row],[Error]]^2</f>
        <v>6.9759471520483665</v>
      </c>
    </row>
    <row r="216" spans="1:6" ht="15.5" x14ac:dyDescent="0.35">
      <c r="A216" s="27">
        <v>2</v>
      </c>
      <c r="B216" s="26">
        <v>12.9</v>
      </c>
      <c r="C216" s="26">
        <v>1.1000000000000001</v>
      </c>
      <c r="D216" s="39">
        <f>$J$3+($J$4*Table1[[#This Row],[size]])+($J$5*Table1[[#This Row],[total_bill]])</f>
        <v>2.2518788213573924</v>
      </c>
      <c r="E216" s="39">
        <f>Table1[[#This Row],[Actual tip]]-Table1[[#This Row],[Predicted Tip]]</f>
        <v>-1.1518788213573923</v>
      </c>
      <c r="F216" s="41">
        <f>Table1[[#This Row],[Error]]^2</f>
        <v>1.3268248190916951</v>
      </c>
    </row>
    <row r="217" spans="1:6" ht="15.5" x14ac:dyDescent="0.35">
      <c r="A217" s="27">
        <v>5</v>
      </c>
      <c r="B217" s="26">
        <v>28.15</v>
      </c>
      <c r="C217" s="26">
        <v>3</v>
      </c>
      <c r="D217" s="39">
        <f>$J$3+($J$4*Table1[[#This Row],[size]])+($J$5*Table1[[#This Row],[total_bill]])</f>
        <v>4.2416380456405944</v>
      </c>
      <c r="E217" s="39">
        <f>Table1[[#This Row],[Actual tip]]-Table1[[#This Row],[Predicted Tip]]</f>
        <v>-1.2416380456405944</v>
      </c>
      <c r="F217" s="41">
        <f>Table1[[#This Row],[Error]]^2</f>
        <v>1.5416650363821949</v>
      </c>
    </row>
    <row r="218" spans="1:6" ht="15.5" x14ac:dyDescent="0.35">
      <c r="A218" s="27">
        <v>2</v>
      </c>
      <c r="B218" s="26">
        <v>11.59</v>
      </c>
      <c r="C218" s="26">
        <v>1.5</v>
      </c>
      <c r="D218" s="39">
        <f>$J$3+($J$4*Table1[[#This Row],[size]])+($J$5*Table1[[#This Row],[total_bill]])</f>
        <v>2.1305238337040171</v>
      </c>
      <c r="E218" s="39">
        <f>Table1[[#This Row],[Actual tip]]-Table1[[#This Row],[Predicted Tip]]</f>
        <v>-0.6305238337040171</v>
      </c>
      <c r="F218" s="41">
        <f>Table1[[#This Row],[Error]]^2</f>
        <v>0.397560304868811</v>
      </c>
    </row>
    <row r="219" spans="1:6" ht="15.5" x14ac:dyDescent="0.35">
      <c r="A219" s="27">
        <v>2</v>
      </c>
      <c r="B219" s="26">
        <v>7.74</v>
      </c>
      <c r="C219" s="26">
        <v>1.44</v>
      </c>
      <c r="D219" s="39">
        <f>$J$3+($J$4*Table1[[#This Row],[size]])+($J$5*Table1[[#This Row],[total_bill]])</f>
        <v>1.7738698623563123</v>
      </c>
      <c r="E219" s="39">
        <f>Table1[[#This Row],[Actual tip]]-Table1[[#This Row],[Predicted Tip]]</f>
        <v>-0.33386986235631233</v>
      </c>
      <c r="F219" s="41">
        <f>Table1[[#This Row],[Error]]^2</f>
        <v>0.11146908498982294</v>
      </c>
    </row>
    <row r="220" spans="1:6" ht="15.5" x14ac:dyDescent="0.35">
      <c r="A220" s="27">
        <v>4</v>
      </c>
      <c r="B220" s="26">
        <v>30.14</v>
      </c>
      <c r="C220" s="26">
        <v>3.09</v>
      </c>
      <c r="D220" s="39">
        <f>$J$3+($J$4*Table1[[#This Row],[size]])+($J$5*Table1[[#This Row],[total_bill]])</f>
        <v>4.2336401459443147</v>
      </c>
      <c r="E220" s="39">
        <f>Table1[[#This Row],[Actual tip]]-Table1[[#This Row],[Predicted Tip]]</f>
        <v>-1.1436401459443148</v>
      </c>
      <c r="F220" s="41">
        <f>Table1[[#This Row],[Error]]^2</f>
        <v>1.3079127834155337</v>
      </c>
    </row>
    <row r="221" spans="1:6" ht="15.5" x14ac:dyDescent="0.35">
      <c r="A221" s="27">
        <v>2</v>
      </c>
      <c r="B221" s="26">
        <v>12.16</v>
      </c>
      <c r="C221" s="26">
        <v>2.2000000000000002</v>
      </c>
      <c r="D221" s="39">
        <f>$J$3+($J$4*Table1[[#This Row],[size]])+($J$5*Table1[[#This Row],[total_bill]])</f>
        <v>2.1833271489425083</v>
      </c>
      <c r="E221" s="39">
        <f>Table1[[#This Row],[Actual tip]]-Table1[[#This Row],[Predicted Tip]]</f>
        <v>1.6672851057491833E-2</v>
      </c>
      <c r="F221" s="41">
        <f>Table1[[#This Row],[Error]]^2</f>
        <v>2.7798396238530652E-4</v>
      </c>
    </row>
    <row r="222" spans="1:6" ht="15.5" x14ac:dyDescent="0.35">
      <c r="A222" s="27">
        <v>2</v>
      </c>
      <c r="B222" s="26">
        <v>13.42</v>
      </c>
      <c r="C222" s="26">
        <v>3.48</v>
      </c>
      <c r="D222" s="39">
        <f>$J$3+($J$4*Table1[[#This Row],[size]])+($J$5*Table1[[#This Row],[total_bill]])</f>
        <v>2.3000502668381211</v>
      </c>
      <c r="E222" s="39">
        <f>Table1[[#This Row],[Actual tip]]-Table1[[#This Row],[Predicted Tip]]</f>
        <v>1.1799497331618789</v>
      </c>
      <c r="F222" s="41">
        <f>Table1[[#This Row],[Error]]^2</f>
        <v>1.3922813727887893</v>
      </c>
    </row>
    <row r="223" spans="1:6" ht="15.5" x14ac:dyDescent="0.35">
      <c r="A223" s="27">
        <v>1</v>
      </c>
      <c r="B223" s="26">
        <v>8.58</v>
      </c>
      <c r="C223" s="26">
        <v>1.92</v>
      </c>
      <c r="D223" s="39">
        <f>$J$3+($J$4*Table1[[#This Row],[size]])+($J$5*Table1[[#This Row],[total_bill]])</f>
        <v>1.6593389582314972</v>
      </c>
      <c r="E223" s="39">
        <f>Table1[[#This Row],[Actual tip]]-Table1[[#This Row],[Predicted Tip]]</f>
        <v>0.26066104176850269</v>
      </c>
      <c r="F223" s="41">
        <f>Table1[[#This Row],[Error]]^2</f>
        <v>6.7944178695841101E-2</v>
      </c>
    </row>
    <row r="224" spans="1:6" ht="15.5" x14ac:dyDescent="0.35">
      <c r="A224" s="27">
        <v>3</v>
      </c>
      <c r="B224" s="26">
        <v>15.98</v>
      </c>
      <c r="C224" s="26">
        <v>3</v>
      </c>
      <c r="D224" s="39">
        <f>$J$3+($J$4*Table1[[#This Row],[size]])+($J$5*Table1[[#This Row],[total_bill]])</f>
        <v>2.7295483144907795</v>
      </c>
      <c r="E224" s="39">
        <f>Table1[[#This Row],[Actual tip]]-Table1[[#This Row],[Predicted Tip]]</f>
        <v>0.2704516855092205</v>
      </c>
      <c r="F224" s="41">
        <f>Table1[[#This Row],[Error]]^2</f>
        <v>7.3144114194778315E-2</v>
      </c>
    </row>
    <row r="225" spans="1:6" ht="15.5" x14ac:dyDescent="0.35">
      <c r="A225" s="27">
        <v>2</v>
      </c>
      <c r="B225" s="26">
        <v>13.42</v>
      </c>
      <c r="C225" s="26">
        <v>1.58</v>
      </c>
      <c r="D225" s="39">
        <f>$J$3+($J$4*Table1[[#This Row],[size]])+($J$5*Table1[[#This Row],[total_bill]])</f>
        <v>2.3000502668381211</v>
      </c>
      <c r="E225" s="39">
        <f>Table1[[#This Row],[Actual tip]]-Table1[[#This Row],[Predicted Tip]]</f>
        <v>-0.72005026683812101</v>
      </c>
      <c r="F225" s="41">
        <f>Table1[[#This Row],[Error]]^2</f>
        <v>0.51847238677364926</v>
      </c>
    </row>
    <row r="226" spans="1:6" ht="15.5" x14ac:dyDescent="0.35">
      <c r="A226" s="27">
        <v>2</v>
      </c>
      <c r="B226" s="26">
        <v>16.27</v>
      </c>
      <c r="C226" s="26">
        <v>2.5</v>
      </c>
      <c r="D226" s="39">
        <f>$J$3+($J$4*Table1[[#This Row],[size]])+($J$5*Table1[[#This Row],[total_bill]])</f>
        <v>2.5640668430305782</v>
      </c>
      <c r="E226" s="39">
        <f>Table1[[#This Row],[Actual tip]]-Table1[[#This Row],[Predicted Tip]]</f>
        <v>-6.4066843030578191E-2</v>
      </c>
      <c r="F226" s="41">
        <f>Table1[[#This Row],[Error]]^2</f>
        <v>4.104560375904745E-3</v>
      </c>
    </row>
    <row r="227" spans="1:6" ht="15.5" x14ac:dyDescent="0.35">
      <c r="A227" s="27">
        <v>2</v>
      </c>
      <c r="B227" s="26">
        <v>10.09</v>
      </c>
      <c r="C227" s="26">
        <v>2</v>
      </c>
      <c r="D227" s="39">
        <f>$J$3+($J$4*Table1[[#This Row],[size]])+($J$5*Table1[[#This Row],[total_bill]])</f>
        <v>1.9915677409711452</v>
      </c>
      <c r="E227" s="39">
        <f>Table1[[#This Row],[Actual tip]]-Table1[[#This Row],[Predicted Tip]]</f>
        <v>8.4322590288548049E-3</v>
      </c>
      <c r="F227" s="41">
        <f>Table1[[#This Row],[Error]]^2</f>
        <v>7.1102992329703378E-5</v>
      </c>
    </row>
    <row r="228" spans="1:6" ht="15.5" x14ac:dyDescent="0.35">
      <c r="A228" s="27">
        <v>4</v>
      </c>
      <c r="B228" s="26">
        <v>20.45</v>
      </c>
      <c r="C228" s="26">
        <v>3</v>
      </c>
      <c r="D228" s="39">
        <f>$J$3+($J$4*Table1[[#This Row],[size]])+($J$5*Table1[[#This Row],[total_bill]])</f>
        <v>3.3359837868899609</v>
      </c>
      <c r="E228" s="39">
        <f>Table1[[#This Row],[Actual tip]]-Table1[[#This Row],[Predicted Tip]]</f>
        <v>-0.33598378688996089</v>
      </c>
      <c r="F228" s="41">
        <f>Table1[[#This Row],[Error]]^2</f>
        <v>0.11288510505291866</v>
      </c>
    </row>
    <row r="229" spans="1:6" ht="15.5" x14ac:dyDescent="0.35">
      <c r="A229" s="27">
        <v>2</v>
      </c>
      <c r="B229" s="26">
        <v>13.28</v>
      </c>
      <c r="C229" s="26">
        <v>2.72</v>
      </c>
      <c r="D229" s="39">
        <f>$J$3+($J$4*Table1[[#This Row],[size]])+($J$5*Table1[[#This Row],[total_bill]])</f>
        <v>2.2870810315163865</v>
      </c>
      <c r="E229" s="39">
        <f>Table1[[#This Row],[Actual tip]]-Table1[[#This Row],[Predicted Tip]]</f>
        <v>0.43291896848361366</v>
      </c>
      <c r="F229" s="41">
        <f>Table1[[#This Row],[Error]]^2</f>
        <v>0.18741883327291609</v>
      </c>
    </row>
    <row r="230" spans="1:6" ht="15.5" x14ac:dyDescent="0.35">
      <c r="A230" s="27">
        <v>2</v>
      </c>
      <c r="B230" s="26">
        <v>22.12</v>
      </c>
      <c r="C230" s="26">
        <v>2.88</v>
      </c>
      <c r="D230" s="39">
        <f>$J$3+($J$4*Table1[[#This Row],[size]])+($J$5*Table1[[#This Row],[total_bill]])</f>
        <v>3.1059956046887791</v>
      </c>
      <c r="E230" s="39">
        <f>Table1[[#This Row],[Actual tip]]-Table1[[#This Row],[Predicted Tip]]</f>
        <v>-0.22599560468877922</v>
      </c>
      <c r="F230" s="41">
        <f>Table1[[#This Row],[Error]]^2</f>
        <v>5.1074013338646966E-2</v>
      </c>
    </row>
    <row r="231" spans="1:6" ht="15.5" x14ac:dyDescent="0.35">
      <c r="A231" s="27">
        <v>4</v>
      </c>
      <c r="B231" s="26">
        <v>24.01</v>
      </c>
      <c r="C231" s="26">
        <v>2</v>
      </c>
      <c r="D231" s="39">
        <f>$J$3+($J$4*Table1[[#This Row],[size]])+($J$5*Table1[[#This Row],[total_bill]])</f>
        <v>3.6657729136426442</v>
      </c>
      <c r="E231" s="39">
        <f>Table1[[#This Row],[Actual tip]]-Table1[[#This Row],[Predicted Tip]]</f>
        <v>-1.6657729136426442</v>
      </c>
      <c r="F231" s="41">
        <f>Table1[[#This Row],[Error]]^2</f>
        <v>2.7747993998255045</v>
      </c>
    </row>
    <row r="232" spans="1:6" ht="15.5" x14ac:dyDescent="0.35">
      <c r="A232" s="27">
        <v>3</v>
      </c>
      <c r="B232" s="26">
        <v>15.69</v>
      </c>
      <c r="C232" s="26">
        <v>3</v>
      </c>
      <c r="D232" s="39">
        <f>$J$3+($J$4*Table1[[#This Row],[size]])+($J$5*Table1[[#This Row],[total_bill]])</f>
        <v>2.7026834698957574</v>
      </c>
      <c r="E232" s="39">
        <f>Table1[[#This Row],[Actual tip]]-Table1[[#This Row],[Predicted Tip]]</f>
        <v>0.29731653010424264</v>
      </c>
      <c r="F232" s="41">
        <f>Table1[[#This Row],[Error]]^2</f>
        <v>8.8397119073227018E-2</v>
      </c>
    </row>
    <row r="233" spans="1:6" ht="15.5" x14ac:dyDescent="0.35">
      <c r="A233" s="27">
        <v>2</v>
      </c>
      <c r="B233" s="26">
        <v>11.61</v>
      </c>
      <c r="C233" s="26">
        <v>3.39</v>
      </c>
      <c r="D233" s="39">
        <f>$J$3+($J$4*Table1[[#This Row],[size]])+($J$5*Table1[[#This Row],[total_bill]])</f>
        <v>2.1323765816071223</v>
      </c>
      <c r="E233" s="39">
        <f>Table1[[#This Row],[Actual tip]]-Table1[[#This Row],[Predicted Tip]]</f>
        <v>1.2576234183928778</v>
      </c>
      <c r="F233" s="41">
        <f>Table1[[#This Row],[Error]]^2</f>
        <v>1.5816166624901875</v>
      </c>
    </row>
    <row r="234" spans="1:6" ht="15.5" x14ac:dyDescent="0.35">
      <c r="A234" s="27">
        <v>2</v>
      </c>
      <c r="B234" s="26">
        <v>10.77</v>
      </c>
      <c r="C234" s="26">
        <v>1.47</v>
      </c>
      <c r="D234" s="39">
        <f>$J$3+($J$4*Table1[[#This Row],[size]])+($J$5*Table1[[#This Row],[total_bill]])</f>
        <v>2.0545611696767137</v>
      </c>
      <c r="E234" s="39">
        <f>Table1[[#This Row],[Actual tip]]-Table1[[#This Row],[Predicted Tip]]</f>
        <v>-0.58456116967671368</v>
      </c>
      <c r="F234" s="41">
        <f>Table1[[#This Row],[Error]]^2</f>
        <v>0.34171176109380763</v>
      </c>
    </row>
    <row r="235" spans="1:6" ht="15.5" x14ac:dyDescent="0.35">
      <c r="A235" s="27">
        <v>2</v>
      </c>
      <c r="B235" s="26">
        <v>15.53</v>
      </c>
      <c r="C235" s="26">
        <v>3</v>
      </c>
      <c r="D235" s="39">
        <f>$J$3+($J$4*Table1[[#This Row],[size]])+($J$5*Table1[[#This Row],[total_bill]])</f>
        <v>2.4955151706156942</v>
      </c>
      <c r="E235" s="39">
        <f>Table1[[#This Row],[Actual tip]]-Table1[[#This Row],[Predicted Tip]]</f>
        <v>0.50448482938430583</v>
      </c>
      <c r="F235" s="41">
        <f>Table1[[#This Row],[Error]]^2</f>
        <v>0.25450494307891219</v>
      </c>
    </row>
    <row r="236" spans="1:6" ht="15.5" x14ac:dyDescent="0.35">
      <c r="A236" s="27">
        <v>2</v>
      </c>
      <c r="B236" s="26">
        <v>10.07</v>
      </c>
      <c r="C236" s="26">
        <v>1.25</v>
      </c>
      <c r="D236" s="39">
        <f>$J$3+($J$4*Table1[[#This Row],[size]])+($J$5*Table1[[#This Row],[total_bill]])</f>
        <v>1.9897149930680402</v>
      </c>
      <c r="E236" s="39">
        <f>Table1[[#This Row],[Actual tip]]-Table1[[#This Row],[Predicted Tip]]</f>
        <v>-0.73971499306804023</v>
      </c>
      <c r="F236" s="41">
        <f>Table1[[#This Row],[Error]]^2</f>
        <v>0.54717827096965077</v>
      </c>
    </row>
    <row r="237" spans="1:6" ht="15.5" x14ac:dyDescent="0.35">
      <c r="A237" s="27">
        <v>2</v>
      </c>
      <c r="B237" s="26">
        <v>12.6</v>
      </c>
      <c r="C237" s="26">
        <v>1</v>
      </c>
      <c r="D237" s="39">
        <f>$J$3+($J$4*Table1[[#This Row],[size]])+($J$5*Table1[[#This Row],[total_bill]])</f>
        <v>2.2240876028108176</v>
      </c>
      <c r="E237" s="39">
        <f>Table1[[#This Row],[Actual tip]]-Table1[[#This Row],[Predicted Tip]]</f>
        <v>-1.2240876028108176</v>
      </c>
      <c r="F237" s="41">
        <f>Table1[[#This Row],[Error]]^2</f>
        <v>1.498390459355134</v>
      </c>
    </row>
    <row r="238" spans="1:6" ht="15.5" x14ac:dyDescent="0.35">
      <c r="A238" s="27">
        <v>2</v>
      </c>
      <c r="B238" s="26">
        <v>32.83</v>
      </c>
      <c r="C238" s="26">
        <v>1.17</v>
      </c>
      <c r="D238" s="39">
        <f>$J$3+($J$4*Table1[[#This Row],[size]])+($J$5*Table1[[#This Row],[total_bill]])</f>
        <v>4.0981421068014852</v>
      </c>
      <c r="E238" s="39">
        <f>Table1[[#This Row],[Actual tip]]-Table1[[#This Row],[Predicted Tip]]</f>
        <v>-2.9281421068014852</v>
      </c>
      <c r="F238" s="41">
        <f>Table1[[#This Row],[Error]]^2</f>
        <v>8.5740161976238412</v>
      </c>
    </row>
    <row r="239" spans="1:6" ht="15.5" x14ac:dyDescent="0.35">
      <c r="A239" s="27">
        <v>3</v>
      </c>
      <c r="B239" s="26">
        <v>35.83</v>
      </c>
      <c r="C239" s="26">
        <v>4.67</v>
      </c>
      <c r="D239" s="39">
        <f>$J$3+($J$4*Table1[[#This Row],[size]])+($J$5*Table1[[#This Row],[total_bill]])</f>
        <v>4.5684006083224524</v>
      </c>
      <c r="E239" s="39">
        <f>Table1[[#This Row],[Actual tip]]-Table1[[#This Row],[Predicted Tip]]</f>
        <v>0.1015993916775475</v>
      </c>
      <c r="F239" s="41">
        <f>Table1[[#This Row],[Error]]^2</f>
        <v>1.0322436389247708E-2</v>
      </c>
    </row>
    <row r="240" spans="1:6" ht="15.5" x14ac:dyDescent="0.35">
      <c r="A240" s="27">
        <v>3</v>
      </c>
      <c r="B240" s="26">
        <v>29.03</v>
      </c>
      <c r="C240" s="26">
        <v>5.92</v>
      </c>
      <c r="D240" s="39">
        <f>$J$3+($J$4*Table1[[#This Row],[size]])+($J$5*Table1[[#This Row],[total_bill]])</f>
        <v>3.9384663212667661</v>
      </c>
      <c r="E240" s="39">
        <f>Table1[[#This Row],[Actual tip]]-Table1[[#This Row],[Predicted Tip]]</f>
        <v>1.9815336787332338</v>
      </c>
      <c r="F240" s="41">
        <f>Table1[[#This Row],[Error]]^2</f>
        <v>3.9264757199540625</v>
      </c>
    </row>
    <row r="241" spans="1:6" ht="15.5" x14ac:dyDescent="0.35">
      <c r="A241" s="27">
        <v>2</v>
      </c>
      <c r="B241" s="26">
        <v>27.18</v>
      </c>
      <c r="C241" s="26">
        <v>2</v>
      </c>
      <c r="D241" s="39">
        <f>$J$3+($J$4*Table1[[#This Row],[size]])+($J$5*Table1[[#This Row],[total_bill]])</f>
        <v>3.5747408241743339</v>
      </c>
      <c r="E241" s="39">
        <f>Table1[[#This Row],[Actual tip]]-Table1[[#This Row],[Predicted Tip]]</f>
        <v>-1.5747408241743339</v>
      </c>
      <c r="F241" s="41">
        <f>Table1[[#This Row],[Error]]^2</f>
        <v>2.4798086633212604</v>
      </c>
    </row>
    <row r="242" spans="1:6" ht="15.5" x14ac:dyDescent="0.35">
      <c r="A242" s="27">
        <v>2</v>
      </c>
      <c r="B242" s="26">
        <v>22.67</v>
      </c>
      <c r="C242" s="26">
        <v>2</v>
      </c>
      <c r="D242" s="39">
        <f>$J$3+($J$4*Table1[[#This Row],[size]])+($J$5*Table1[[#This Row],[total_bill]])</f>
        <v>3.1569461720241656</v>
      </c>
      <c r="E242" s="39">
        <f>Table1[[#This Row],[Actual tip]]-Table1[[#This Row],[Predicted Tip]]</f>
        <v>-1.1569461720241656</v>
      </c>
      <c r="F242" s="41">
        <f>Table1[[#This Row],[Error]]^2</f>
        <v>1.3385244449613702</v>
      </c>
    </row>
    <row r="243" spans="1:6" ht="15.5" x14ac:dyDescent="0.35">
      <c r="A243" s="27">
        <v>2</v>
      </c>
      <c r="B243" s="26">
        <v>17.82</v>
      </c>
      <c r="C243" s="26">
        <v>1.75</v>
      </c>
      <c r="D243" s="39">
        <f>$J$3+($J$4*Table1[[#This Row],[size]])+($J$5*Table1[[#This Row],[total_bill]])</f>
        <v>2.7076548055212122</v>
      </c>
      <c r="E243" s="39">
        <f>Table1[[#This Row],[Actual tip]]-Table1[[#This Row],[Predicted Tip]]</f>
        <v>-0.95765480552121218</v>
      </c>
      <c r="F243" s="41">
        <f>Table1[[#This Row],[Error]]^2</f>
        <v>0.91710272653787073</v>
      </c>
    </row>
    <row r="244" spans="1:6" ht="15.5" x14ac:dyDescent="0.35">
      <c r="A244" s="31">
        <v>2</v>
      </c>
      <c r="B244" s="32">
        <v>18.78</v>
      </c>
      <c r="C244" s="32">
        <v>3</v>
      </c>
      <c r="D244" s="39">
        <f>$J$3+($J$4*Table1[[#This Row],[size]])+($J$5*Table1[[#This Row],[total_bill]])</f>
        <v>2.7965867048702506</v>
      </c>
      <c r="E244" s="39">
        <f>Table1[[#This Row],[Actual tip]]-Table1[[#This Row],[Predicted Tip]]</f>
        <v>0.20341329512974937</v>
      </c>
      <c r="F244" s="41">
        <f>Table1[[#This Row],[Error]]^2</f>
        <v>4.1376968635542521E-2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MASTER_DATA</vt:lpstr>
      <vt:lpstr>CATEGORICAL TO NUMERICAL</vt:lpstr>
      <vt:lpstr>Aligned Data</vt:lpstr>
      <vt:lpstr>PIVOT-TABLES</vt:lpstr>
      <vt:lpstr>Correlation</vt:lpstr>
      <vt:lpstr>Correlation Charts</vt:lpstr>
      <vt:lpstr>Multi-Variate Regression_1</vt:lpstr>
      <vt:lpstr>Multi-Variate Regression_2</vt:lpstr>
      <vt:lpstr>Predicted Tip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Vaishnavi Gaurav</cp:lastModifiedBy>
  <cp:revision/>
  <dcterms:created xsi:type="dcterms:W3CDTF">2021-10-26T16:10:41Z</dcterms:created>
  <dcterms:modified xsi:type="dcterms:W3CDTF">2025-08-10T10:57:08Z</dcterms:modified>
  <cp:category/>
  <cp:contentStatus/>
</cp:coreProperties>
</file>